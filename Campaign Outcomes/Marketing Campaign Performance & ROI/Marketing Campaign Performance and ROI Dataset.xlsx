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ansoor Abbas\Downloads\"/>
    </mc:Choice>
  </mc:AlternateContent>
  <xr:revisionPtr revIDLastSave="0" documentId="8_{6BC97BF1-E02F-4B66-900A-E8D5EA02F438}" xr6:coauthVersionLast="47" xr6:coauthVersionMax="47" xr10:uidLastSave="{00000000-0000-0000-0000-000000000000}"/>
  <bookViews>
    <workbookView xWindow="-110" yWindow="-110" windowWidth="19420" windowHeight="10300" activeTab="3" xr2:uid="{07B7EE17-F7CF-41B0-976D-01457D0B53C1}"/>
  </bookViews>
  <sheets>
    <sheet name="Sheet1" sheetId="2" r:id="rId1"/>
    <sheet name="Sheet3" sheetId="4" r:id="rId2"/>
    <sheet name="Sheet2" sheetId="3" r:id="rId3"/>
    <sheet name="Marketing Campaign Performance " sheetId="1" r:id="rId4"/>
  </sheets>
  <calcPr calcId="0"/>
  <pivotCaches>
    <pivotCache cacheId="3" r:id="rId5"/>
  </pivotCaches>
</workbook>
</file>

<file path=xl/calcChain.xml><?xml version="1.0" encoding="utf-8"?>
<calcChain xmlns="http://schemas.openxmlformats.org/spreadsheetml/2006/main">
  <c r="G73" i="1" l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</calcChain>
</file>

<file path=xl/sharedStrings.xml><?xml version="1.0" encoding="utf-8"?>
<sst xmlns="http://schemas.openxmlformats.org/spreadsheetml/2006/main" count="210" uniqueCount="105">
  <si>
    <t>Campaign_ID</t>
  </si>
  <si>
    <t>Date</t>
  </si>
  <si>
    <t>Spend</t>
  </si>
  <si>
    <t>Clicks</t>
  </si>
  <si>
    <t>Revenue</t>
  </si>
  <si>
    <t>CMP_1000</t>
  </si>
  <si>
    <t>Paid Search</t>
  </si>
  <si>
    <t>CMP_1001</t>
  </si>
  <si>
    <t>Email</t>
  </si>
  <si>
    <t>CMP_1002</t>
  </si>
  <si>
    <t>CMP_1004</t>
  </si>
  <si>
    <t>CMP_1005</t>
  </si>
  <si>
    <t>CMP_1007</t>
  </si>
  <si>
    <t>CMP_1008</t>
  </si>
  <si>
    <t>Referral</t>
  </si>
  <si>
    <t>CMP_1009</t>
  </si>
  <si>
    <t>CMP_1012</t>
  </si>
  <si>
    <t>Social Media</t>
  </si>
  <si>
    <t>CMP_1013</t>
  </si>
  <si>
    <t>CMP_1014</t>
  </si>
  <si>
    <t>CMP_1015</t>
  </si>
  <si>
    <t>CMP_1016</t>
  </si>
  <si>
    <t>CMP_1017</t>
  </si>
  <si>
    <t>CMP_1018</t>
  </si>
  <si>
    <t>CMP_1019</t>
  </si>
  <si>
    <t>CMP_1020</t>
  </si>
  <si>
    <t>CMP_1021</t>
  </si>
  <si>
    <t>CMP_1023</t>
  </si>
  <si>
    <t>CMP_1024</t>
  </si>
  <si>
    <t>CMP_1025</t>
  </si>
  <si>
    <t>CMP_1026</t>
  </si>
  <si>
    <t>CMP_1027</t>
  </si>
  <si>
    <t>CMP_1028</t>
  </si>
  <si>
    <t>CMP_1029</t>
  </si>
  <si>
    <t>CMP_1030</t>
  </si>
  <si>
    <t>CMP_1031</t>
  </si>
  <si>
    <t>CMP_1032</t>
  </si>
  <si>
    <t>CMP_1033</t>
  </si>
  <si>
    <t>CMP_1035</t>
  </si>
  <si>
    <t>CMP_1036</t>
  </si>
  <si>
    <t>CMP_1037</t>
  </si>
  <si>
    <t>CMP_1038</t>
  </si>
  <si>
    <t>CMP_1039</t>
  </si>
  <si>
    <t>CMP_1040</t>
  </si>
  <si>
    <t>CMP_1042</t>
  </si>
  <si>
    <t>CMP_1043</t>
  </si>
  <si>
    <t>CMP_1044</t>
  </si>
  <si>
    <t>CMP_1045</t>
  </si>
  <si>
    <t>CMP_1046</t>
  </si>
  <si>
    <t>CMP_1048</t>
  </si>
  <si>
    <t>CMP_1049</t>
  </si>
  <si>
    <t>CMP_1051</t>
  </si>
  <si>
    <t>CMP_1052</t>
  </si>
  <si>
    <t>CMP_1053</t>
  </si>
  <si>
    <t>CMP_1054</t>
  </si>
  <si>
    <t>CMP_1055</t>
  </si>
  <si>
    <t>CMP_1056</t>
  </si>
  <si>
    <t>CMP_1059</t>
  </si>
  <si>
    <t>CMP_1060</t>
  </si>
  <si>
    <t>CMP_1061</t>
  </si>
  <si>
    <t>CMP_1062</t>
  </si>
  <si>
    <t>CMP_1063</t>
  </si>
  <si>
    <t>CMP_1064</t>
  </si>
  <si>
    <t>CMP_1065</t>
  </si>
  <si>
    <t>CMP_1066</t>
  </si>
  <si>
    <t>CMP_1067</t>
  </si>
  <si>
    <t>CMP_1068</t>
  </si>
  <si>
    <t>CMP_1069</t>
  </si>
  <si>
    <t>CMP_1070</t>
  </si>
  <si>
    <t>CMP_1071</t>
  </si>
  <si>
    <t>CMP_1072</t>
  </si>
  <si>
    <t>CMP_1073</t>
  </si>
  <si>
    <t>CMP_1074</t>
  </si>
  <si>
    <t>CMP_1075</t>
  </si>
  <si>
    <t>CMP_1076</t>
  </si>
  <si>
    <t>CMP_1077</t>
  </si>
  <si>
    <t>CMP_1078</t>
  </si>
  <si>
    <t>CMP_1079</t>
  </si>
  <si>
    <t>CMP_1080</t>
  </si>
  <si>
    <t>CMP_1081</t>
  </si>
  <si>
    <t>CMP_1082</t>
  </si>
  <si>
    <t>CMP_1083</t>
  </si>
  <si>
    <t>CMP_1084</t>
  </si>
  <si>
    <t>CMP_1085</t>
  </si>
  <si>
    <t>CMP_1086</t>
  </si>
  <si>
    <t>CMP_1087</t>
  </si>
  <si>
    <t>CMP_1088</t>
  </si>
  <si>
    <t>CMP_1089</t>
  </si>
  <si>
    <t>CMP_1091</t>
  </si>
  <si>
    <t>CMP_1092</t>
  </si>
  <si>
    <t>CMP_1093</t>
  </si>
  <si>
    <t>CMP_1094</t>
  </si>
  <si>
    <t>CMP_1095</t>
  </si>
  <si>
    <t>CMP_1096</t>
  </si>
  <si>
    <t>CMP_1097</t>
  </si>
  <si>
    <t>CMP_1098</t>
  </si>
  <si>
    <t>CMP_1099</t>
  </si>
  <si>
    <t>Ppc</t>
  </si>
  <si>
    <t/>
  </si>
  <si>
    <t>Marketing_channel</t>
  </si>
  <si>
    <t>ROI %</t>
  </si>
  <si>
    <t>Row Labels</t>
  </si>
  <si>
    <t>(blank)</t>
  </si>
  <si>
    <t>Grand Total</t>
  </si>
  <si>
    <t>Average of ROI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</si>
</sst>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5" fontId="0" fillId="0" borderId="0" xfId="0" applyNumberFormat="1"/>
    <xf numFmtId="2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45364784"/>
        <c:axId val="745365264"/>
      </c:barChart>
      <c:catAx>
        <c:axId val="745364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365264"/>
        <c:crosses val="autoZero"/>
        <c:auto val="1"/>
        <c:lblAlgn val="ctr"/>
        <c:lblOffset val="100"/>
        <c:noMultiLvlLbl val="0"/>
      </c:catAx>
      <c:valAx>
        <c:axId val="74536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36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8988128"/>
        <c:axId val="758989088"/>
      </c:barChart>
      <c:catAx>
        <c:axId val="758988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989088"/>
        <c:crosses val="autoZero"/>
        <c:auto val="1"/>
        <c:lblAlgn val="ctr"/>
        <c:lblOffset val="100"/>
        <c:noMultiLvlLbl val="0"/>
      </c:catAx>
      <c:valAx>
        <c:axId val="75898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98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8993888"/>
        <c:axId val="759000128"/>
      </c:barChart>
      <c:catAx>
        <c:axId val="758993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000128"/>
        <c:crosses val="autoZero"/>
        <c:auto val="1"/>
        <c:lblAlgn val="ctr"/>
        <c:lblOffset val="100"/>
        <c:noMultiLvlLbl val="0"/>
      </c:catAx>
      <c:valAx>
        <c:axId val="75900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993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58988608"/>
        <c:axId val="758984288"/>
      </c:barChart>
      <c:catAx>
        <c:axId val="758988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984288"/>
        <c:crosses val="autoZero"/>
        <c:auto val="1"/>
        <c:lblAlgn val="ctr"/>
        <c:lblOffset val="100"/>
        <c:noMultiLvlLbl val="0"/>
      </c:catAx>
      <c:valAx>
        <c:axId val="75898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98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Campaign Performance and ROI Dataset.xlsx]Sheet2!PivotTable2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Sheet2!$A$2:$A$9</c:f>
              <c:strCache>
                <c:ptCount val="7"/>
                <c:pt idx="1">
                  <c:v>Email</c:v>
                </c:pt>
                <c:pt idx="2">
                  <c:v>Paid Search</c:v>
                </c:pt>
                <c:pt idx="3">
                  <c:v>Ppc</c:v>
                </c:pt>
                <c:pt idx="4">
                  <c:v>Referral</c:v>
                </c:pt>
                <c:pt idx="5">
                  <c:v>Social Media</c:v>
                </c:pt>
                <c:pt idx="6">
                  <c:v>(blank)</c:v>
                </c:pt>
              </c:strCache>
            </c:strRef>
          </c:cat>
          <c:val>
            <c:numRef>
              <c:f>Sheet2!$B$2:$B$9</c:f>
              <c:numCache>
                <c:formatCode>General</c:formatCode>
                <c:ptCount val="7"/>
                <c:pt idx="0">
                  <c:v>2.4455646494202328</c:v>
                </c:pt>
                <c:pt idx="1">
                  <c:v>7.4033473431722623</c:v>
                </c:pt>
                <c:pt idx="2">
                  <c:v>3.3459103429322008</c:v>
                </c:pt>
                <c:pt idx="3">
                  <c:v>9.6611751332867009</c:v>
                </c:pt>
                <c:pt idx="4">
                  <c:v>7.3745182044204043</c:v>
                </c:pt>
                <c:pt idx="5">
                  <c:v>5.9616293723925766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87-405D-9F47-1012BAA5B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9010208"/>
        <c:axId val="759010688"/>
      </c:barChart>
      <c:catAx>
        <c:axId val="75901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010688"/>
        <c:crosses val="autoZero"/>
        <c:auto val="1"/>
        <c:lblAlgn val="ctr"/>
        <c:lblOffset val="100"/>
        <c:noMultiLvlLbl val="0"/>
      </c:catAx>
      <c:valAx>
        <c:axId val="75901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01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63500</xdr:colOff>
      <xdr:row>9</xdr:row>
      <xdr:rowOff>146050</xdr:rowOff>
    </xdr:from>
    <xdr:to>
      <xdr:col>13</xdr:col>
      <xdr:colOff>158750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E3E7F9-4989-D1C5-A811-C88D8DFF1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390525</xdr:colOff>
      <xdr:row>4</xdr:row>
      <xdr:rowOff>76200</xdr:rowOff>
    </xdr:from>
    <xdr:to>
      <xdr:col>10</xdr:col>
      <xdr:colOff>85725</xdr:colOff>
      <xdr:row>19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ED9CB9-13A4-DC72-96F6-0522BE9AB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4</xdr:row>
      <xdr:rowOff>76200</xdr:rowOff>
    </xdr:from>
    <xdr:to>
      <xdr:col>11</xdr:col>
      <xdr:colOff>180975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F2EA50-DA16-0AD3-2FEB-47BDCD095A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4</xdr:row>
      <xdr:rowOff>76200</xdr:rowOff>
    </xdr:from>
    <xdr:to>
      <xdr:col>11</xdr:col>
      <xdr:colOff>180975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F9595A-F335-2907-BDC3-66C1A181E9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485775</xdr:colOff>
      <xdr:row>4</xdr:row>
      <xdr:rowOff>76200</xdr:rowOff>
    </xdr:from>
    <xdr:to>
      <xdr:col>11</xdr:col>
      <xdr:colOff>180975</xdr:colOff>
      <xdr:row>19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E9E6BC-D87D-1464-9E73-720D7C56D1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soor Abbas" refreshedDate="46066.076023148147" createdVersion="8" refreshedVersion="8" minRefreshableVersion="3" recordCount="104" xr:uid="{8472689A-1C25-4F0F-87D3-2C6E8E141274}">
  <cacheSource type="worksheet">
    <worksheetSource ref="A1:G1048576" sheet="Marketing Campaign Performance "/>
  </cacheSource>
  <cacheFields count="7">
    <cacheField name="Campaign_ID" numFmtId="0">
      <sharedItems containsBlank="1"/>
    </cacheField>
    <cacheField name="Date" numFmtId="0">
      <sharedItems containsNonDate="0" containsDate="1" containsString="0" containsBlank="1" minDate="2023-01-02T00:00:00" maxDate="2024-01-02T00:00:00"/>
    </cacheField>
    <cacheField name="Marketing_channel" numFmtId="0">
      <sharedItems containsBlank="1" count="7">
        <s v="Referral"/>
        <s v="Ppc"/>
        <s v="Paid Search"/>
        <s v="Email"/>
        <s v="Social Media"/>
        <s v=""/>
        <m/>
      </sharedItems>
    </cacheField>
    <cacheField name="Spend" numFmtId="2">
      <sharedItems containsString="0" containsBlank="1" containsNumber="1" minValue="178.65" maxValue="4961.8900000000003"/>
    </cacheField>
    <cacheField name="Clicks" numFmtId="2">
      <sharedItems containsString="0" containsBlank="1" containsNumber="1" containsInteger="1" minValue="92" maxValue="1993"/>
    </cacheField>
    <cacheField name="Revenue" numFmtId="2">
      <sharedItems containsString="0" containsBlank="1" containsNumber="1" minValue="742.12" maxValue="19299.419999999998"/>
    </cacheField>
    <cacheField name="ROI %" numFmtId="9">
      <sharedItems containsString="0" containsBlank="1" containsNumber="1" minValue="-0.83256359636753341" maxValue="44.8049258326336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s v="CMP_1085"/>
    <d v="2023-09-22T00:00:00"/>
    <x v="0"/>
    <n v="3463.91"/>
    <n v="1993"/>
    <n v="18313.28"/>
    <n v="4.2868810101879093"/>
  </r>
  <r>
    <s v="CMP_1031"/>
    <d v="2023-11-10T00:00:00"/>
    <x v="1"/>
    <n v="1272.77"/>
    <n v="1940"/>
    <n v="5454"/>
    <n v="3.2851418559519785"/>
  </r>
  <r>
    <s v="CMP_1081"/>
    <d v="2023-04-18T00:00:00"/>
    <x v="2"/>
    <n v="2141.7800000000002"/>
    <n v="1938"/>
    <n v="3340.12"/>
    <n v="0.55950657864019626"/>
  </r>
  <r>
    <s v="CMP_1086"/>
    <d v="2023-12-20T00:00:00"/>
    <x v="3"/>
    <n v="2158.13"/>
    <n v="1932"/>
    <n v="3612.02"/>
    <n v="0.67368045483821637"/>
  </r>
  <r>
    <s v="CMP_1092"/>
    <d v="2023-04-25T00:00:00"/>
    <x v="2"/>
    <n v="3601.25"/>
    <n v="1925"/>
    <n v="9529.0499999999993"/>
    <n v="1.6460395695938908"/>
  </r>
  <r>
    <s v="CMP_1084"/>
    <d v="2023-05-30T00:00:00"/>
    <x v="1"/>
    <n v="267.88"/>
    <n v="1905"/>
    <n v="12249.92"/>
    <n v="44.729132447364499"/>
  </r>
  <r>
    <s v="CMP_1078"/>
    <d v="2023-09-19T00:00:00"/>
    <x v="4"/>
    <n v="2829.61"/>
    <n v="1903"/>
    <n v="930.76"/>
    <n v="-0.67106421026219165"/>
  </r>
  <r>
    <s v="CMP_1069"/>
    <d v="2023-11-20T00:00:00"/>
    <x v="2"/>
    <n v="2698.83"/>
    <n v="1866"/>
    <n v="12205.95"/>
    <n v="3.5226820511110373"/>
  </r>
  <r>
    <s v="CMP_1063"/>
    <d v="2023-06-04T00:00:00"/>
    <x v="1"/>
    <n v="861.58"/>
    <n v="1810"/>
    <n v="12287.2"/>
    <n v="13.26124097588152"/>
  </r>
  <r>
    <s v="CMP_1002"/>
    <d v="2023-11-17T00:00:00"/>
    <x v="4"/>
    <n v="2243.4499999999998"/>
    <n v="1789"/>
    <n v="9720.9599999999991"/>
    <n v="3.3330406293877735"/>
  </r>
  <r>
    <s v="CMP_1030"/>
    <d v="2023-07-10T00:00:00"/>
    <x v="3"/>
    <n v="4097.8599999999997"/>
    <n v="1780"/>
    <n v="15042.16"/>
    <n v="2.6707354570434325"/>
  </r>
  <r>
    <s v="CMP_1088"/>
    <d v="2023-07-30T00:00:00"/>
    <x v="5"/>
    <n v="4238.3999999999996"/>
    <n v="1779"/>
    <n v="1720.33"/>
    <n v="-0.59410862589656477"/>
  </r>
  <r>
    <s v="CMP_1033"/>
    <d v="2023-08-20T00:00:00"/>
    <x v="1"/>
    <n v="1286.56"/>
    <n v="1775"/>
    <n v="17642.39"/>
    <n v="12.712838888197986"/>
  </r>
  <r>
    <s v="CMP_1014"/>
    <d v="2023-01-02T00:00:00"/>
    <x v="1"/>
    <n v="4195.17"/>
    <n v="1758"/>
    <n v="5750.86"/>
    <n v="0.37082883411160922"/>
  </r>
  <r>
    <s v="CMP_1061"/>
    <d v="2023-09-09T00:00:00"/>
    <x v="0"/>
    <n v="2710.44"/>
    <n v="1749"/>
    <n v="7700.36"/>
    <n v="1.8409999852422485"/>
  </r>
  <r>
    <s v="CMP_1099"/>
    <d v="2023-02-23T00:00:00"/>
    <x v="1"/>
    <n v="178.65"/>
    <n v="1736"/>
    <n v="8183.05"/>
    <n v="44.804925832633643"/>
  </r>
  <r>
    <s v="CMP_1059"/>
    <d v="2023-12-12T00:00:00"/>
    <x v="0"/>
    <n v="2993.75"/>
    <n v="1686"/>
    <n v="12851.88"/>
    <n v="3.2929035490605427"/>
  </r>
  <r>
    <s v="CMP_1004"/>
    <d v="2023-01-25T00:00:00"/>
    <x v="4"/>
    <n v="2224.67"/>
    <n v="1653"/>
    <n v="16115.05"/>
    <n v="6.2437934615021549"/>
  </r>
  <r>
    <s v="CMP_1055"/>
    <d v="2023-09-21T00:00:00"/>
    <x v="0"/>
    <n v="2367.83"/>
    <n v="1615"/>
    <n v="6860.17"/>
    <n v="1.8972392443714288"/>
  </r>
  <r>
    <s v="CMP_1049"/>
    <d v="2023-09-02T00:00:00"/>
    <x v="1"/>
    <n v="3667.66"/>
    <n v="1601"/>
    <n v="6897.64"/>
    <n v="0.88066505619386759"/>
  </r>
  <r>
    <s v="CMP_1037"/>
    <d v="2023-12-28T00:00:00"/>
    <x v="3"/>
    <n v="1214.99"/>
    <n v="1596"/>
    <n v="5319.07"/>
    <n v="3.3778714228100641"/>
  </r>
  <r>
    <s v="CMP_1048"/>
    <d v="2023-06-25T00:00:00"/>
    <x v="5"/>
    <n v="492.67"/>
    <n v="1584"/>
    <n v="4033.59"/>
    <n v="7.1872044167495481"/>
  </r>
  <r>
    <s v="CMP_1065"/>
    <d v="2023-10-04T00:00:00"/>
    <x v="3"/>
    <n v="411"/>
    <n v="1582"/>
    <n v="17415.14"/>
    <n v="41.372603406326036"/>
  </r>
  <r>
    <s v="CMP_1001"/>
    <d v="2023-03-12T00:00:00"/>
    <x v="3"/>
    <n v="1076.3599999999999"/>
    <n v="1573"/>
    <n v="14226.25"/>
    <n v="12.216999888513138"/>
  </r>
  <r>
    <s v="CMP_1062"/>
    <d v="2023-08-15T00:00:00"/>
    <x v="4"/>
    <n v="900.35"/>
    <n v="1554"/>
    <n v="18383.560000000001"/>
    <n v="19.418237352140835"/>
  </r>
  <r>
    <s v="CMP_1098"/>
    <d v="2023-06-22T00:00:00"/>
    <x v="2"/>
    <n v="4757.6400000000003"/>
    <n v="1535"/>
    <n v="19037.43"/>
    <n v="3.0014439932403461"/>
  </r>
  <r>
    <s v="CMP_1097"/>
    <d v="2023-10-15T00:00:00"/>
    <x v="0"/>
    <n v="804.53"/>
    <n v="1422"/>
    <n v="2212.62"/>
    <n v="1.7502019812809964"/>
  </r>
  <r>
    <s v="CMP_1005"/>
    <d v="2023-09-25T00:00:00"/>
    <x v="2"/>
    <n v="4093.4"/>
    <n v="1405"/>
    <n v="6612.62"/>
    <n v="0.61543460204231193"/>
  </r>
  <r>
    <s v="CMP_1071"/>
    <d v="2023-09-20T00:00:00"/>
    <x v="1"/>
    <n v="1465.15"/>
    <n v="1398"/>
    <n v="9936.9699999999993"/>
    <n v="5.7822202504862981"/>
  </r>
  <r>
    <s v="CMP_1024"/>
    <d v="2023-08-10T00:00:00"/>
    <x v="3"/>
    <n v="1411.27"/>
    <n v="1373"/>
    <n v="5914"/>
    <n v="3.1905517725169528"/>
  </r>
  <r>
    <s v="CMP_1072"/>
    <d v="2023-07-03T00:00:00"/>
    <x v="4"/>
    <n v="1746.58"/>
    <n v="1353"/>
    <n v="10197.6"/>
    <n v="4.8386103127254412"/>
  </r>
  <r>
    <s v="CMP_1015"/>
    <d v="2023-11-13T00:00:00"/>
    <x v="2"/>
    <n v="4055.26"/>
    <n v="1335"/>
    <n v="10880.67"/>
    <n v="1.6831004670477354"/>
  </r>
  <r>
    <s v="CMP_1000"/>
    <d v="2023-01-15T00:00:00"/>
    <x v="2"/>
    <n v="2013.71"/>
    <n v="1238"/>
    <n v="10014.18"/>
    <n v="3.973000084421292"/>
  </r>
  <r>
    <s v="CMP_1009"/>
    <d v="2023-10-11T00:00:00"/>
    <x v="1"/>
    <n v="903.25"/>
    <n v="1214"/>
    <n v="4213.6899999999996"/>
    <n v="3.6650318295045663"/>
  </r>
  <r>
    <s v="CMP_1077"/>
    <d v="2023-11-10T00:00:00"/>
    <x v="0"/>
    <n v="2590.9699999999998"/>
    <n v="1175"/>
    <n v="10890.49"/>
    <n v="3.20324820434046"/>
  </r>
  <r>
    <s v="CMP_1008"/>
    <d v="2023-06-15T00:00:00"/>
    <x v="0"/>
    <n v="2718.52"/>
    <n v="1169"/>
    <n v="10538.41"/>
    <n v="2.8765247266895222"/>
  </r>
  <r>
    <s v="CMP_1056"/>
    <d v="2023-07-16T00:00:00"/>
    <x v="3"/>
    <n v="3691.72"/>
    <n v="1153"/>
    <n v="954.13"/>
    <n v="-0.74154865482756005"/>
  </r>
  <r>
    <s v="CMP_1032"/>
    <d v="2023-01-23T00:00:00"/>
    <x v="1"/>
    <n v="2595.56"/>
    <n v="1131"/>
    <n v="5789.22"/>
    <n v="1.2304319684384104"/>
  </r>
  <r>
    <s v="CMP_1028"/>
    <d v="2023-10-28T00:00:00"/>
    <x v="4"/>
    <n v="3808.29"/>
    <n v="1075"/>
    <n v="13579.06"/>
    <n v="2.5656580775098536"/>
  </r>
  <r>
    <s v="CMP_1012"/>
    <d v="2023-05-21T00:00:00"/>
    <x v="4"/>
    <n v="3349.81"/>
    <n v="1056"/>
    <n v="16419.52"/>
    <n v="3.9016272564712629"/>
  </r>
  <r>
    <s v="CMP_1042"/>
    <d v="2023-01-06T00:00:00"/>
    <x v="4"/>
    <n v="893.66"/>
    <n v="1043"/>
    <n v="6569.6"/>
    <n v="6.3513416735671289"/>
  </r>
  <r>
    <s v="CMP_1023"/>
    <d v="2023-11-21T00:00:00"/>
    <x v="4"/>
    <n v="3313.21"/>
    <n v="1032"/>
    <n v="15555.6"/>
    <n v="3.6950238590370064"/>
  </r>
  <r>
    <s v="CMP_1087"/>
    <d v="2023-09-11T00:00:00"/>
    <x v="4"/>
    <n v="1500.71"/>
    <n v="1028"/>
    <n v="2236.9"/>
    <n v="0.49056113439638571"/>
  </r>
  <r>
    <s v="CMP_1018"/>
    <d v="2023-12-20T00:00:00"/>
    <x v="0"/>
    <n v="1001.78"/>
    <n v="1025"/>
    <n v="2131.33"/>
    <n v="1.1275429735071572"/>
  </r>
  <r>
    <s v="CMP_1017"/>
    <d v="2023-08-17T00:00:00"/>
    <x v="1"/>
    <n v="4344.75"/>
    <n v="1008"/>
    <n v="15247.59"/>
    <n v="2.5094286207491803"/>
  </r>
  <r>
    <s v="CMP_1026"/>
    <d v="2023-10-13T00:00:00"/>
    <x v="4"/>
    <n v="4759.13"/>
    <n v="964"/>
    <n v="17011.599999999999"/>
    <n v="2.5745188721467995"/>
  </r>
  <r>
    <s v="CMP_1020"/>
    <d v="2023-12-09T00:00:00"/>
    <x v="2"/>
    <n v="4677.0600000000004"/>
    <n v="961"/>
    <n v="8068.68"/>
    <n v="0.72516067786173355"/>
  </r>
  <r>
    <s v="CMP_1045"/>
    <d v="2023-04-03T00:00:00"/>
    <x v="4"/>
    <n v="4656.24"/>
    <n v="890"/>
    <n v="2838.65"/>
    <n v="-0.39035573767675202"/>
  </r>
  <r>
    <s v="CMP_1019"/>
    <d v="2023-09-14T00:00:00"/>
    <x v="2"/>
    <n v="980.06"/>
    <n v="851"/>
    <n v="7213.37"/>
    <n v="6.3601310123869963"/>
  </r>
  <r>
    <s v="CMP_1053"/>
    <d v="2023-05-23T00:00:00"/>
    <x v="0"/>
    <n v="4897.59"/>
    <n v="851"/>
    <n v="6840.17"/>
    <n v="0.39663998007183121"/>
  </r>
  <r>
    <s v="CMP_1038"/>
    <d v="2023-11-07T00:00:00"/>
    <x v="0"/>
    <n v="2823.78"/>
    <n v="829"/>
    <n v="12417.92"/>
    <n v="3.3976230442881521"/>
  </r>
  <r>
    <s v="CMP_1076"/>
    <d v="2023-11-10T00:00:00"/>
    <x v="2"/>
    <n v="2481.48"/>
    <n v="811"/>
    <n v="18406.810000000001"/>
    <n v="6.4176741299547055"/>
  </r>
  <r>
    <s v="CMP_1035"/>
    <d v="2023-01-13T00:00:00"/>
    <x v="2"/>
    <n v="3584.4"/>
    <n v="788"/>
    <n v="4862.9399999999996"/>
    <n v="0.35669568128557066"/>
  </r>
  <r>
    <s v="CMP_1083"/>
    <d v="2023-10-18T00:00:00"/>
    <x v="3"/>
    <n v="3700.43"/>
    <n v="783"/>
    <n v="11584.04"/>
    <n v="2.1304578116597264"/>
  </r>
  <r>
    <s v="CMP_1040"/>
    <d v="2023-12-20T00:00:00"/>
    <x v="1"/>
    <n v="564.61"/>
    <n v="781"/>
    <n v="16280.49"/>
    <n v="27.834930305874849"/>
  </r>
  <r>
    <s v="CMP_1013"/>
    <d v="2023-03-28T00:00:00"/>
    <x v="1"/>
    <n v="1996.89"/>
    <n v="741"/>
    <n v="16841.47"/>
    <n v="7.4338496361842674"/>
  </r>
  <r>
    <s v="CMP_1095"/>
    <d v="2023-08-22T00:00:00"/>
    <x v="1"/>
    <n v="4601.71"/>
    <n v="735"/>
    <n v="10190.049999999999"/>
    <n v="1.2144050798507509"/>
  </r>
  <r>
    <s v="CMP_1091"/>
    <d v="2023-04-26T00:00:00"/>
    <x v="4"/>
    <n v="1546.75"/>
    <n v="730"/>
    <n v="18673.61"/>
    <n v="11.072804267011476"/>
  </r>
  <r>
    <s v="CMP_1075"/>
    <d v="2023-11-17T00:00:00"/>
    <x v="1"/>
    <n v="4381.75"/>
    <n v="704"/>
    <n v="18962.98"/>
    <n v="3.3277183773606436"/>
  </r>
  <r>
    <s v="CMP_1068"/>
    <d v="2023-03-09T00:00:00"/>
    <x v="4"/>
    <n v="3273.12"/>
    <n v="696"/>
    <n v="7057.54"/>
    <n v="1.156211810138339"/>
  </r>
  <r>
    <s v="CMP_1066"/>
    <d v="2023-09-01T00:00:00"/>
    <x v="5"/>
    <n v="3031.85"/>
    <n v="638"/>
    <n v="12802.45"/>
    <n v="3.2226528357273616"/>
  </r>
  <r>
    <s v="CMP_1082"/>
    <d v="2023-12-19T00:00:00"/>
    <x v="2"/>
    <n v="377.88"/>
    <n v="598"/>
    <n v="6231.88"/>
    <n v="15.491690483751455"/>
  </r>
  <r>
    <s v="CMP_1064"/>
    <d v="2023-04-08T00:00:00"/>
    <x v="1"/>
    <n v="700.26"/>
    <n v="572"/>
    <n v="19299.419999999998"/>
    <n v="26.560363293633792"/>
  </r>
  <r>
    <s v="CMP_1025"/>
    <d v="2023-09-22T00:00:00"/>
    <x v="2"/>
    <n v="3000.55"/>
    <n v="565"/>
    <n v="3900.15"/>
    <n v="0.29981170118811545"/>
  </r>
  <r>
    <s v="CMP_1067"/>
    <d v="2023-07-10T00:00:00"/>
    <x v="1"/>
    <n v="2078.36"/>
    <n v="546"/>
    <n v="17571.759999999998"/>
    <n v="7.4546276872149182"/>
  </r>
  <r>
    <s v="CMP_1089"/>
    <d v="2023-12-17T00:00:00"/>
    <x v="0"/>
    <n v="269.26"/>
    <n v="539"/>
    <n v="11425.09"/>
    <n v="41.431441729183689"/>
  </r>
  <r>
    <s v="CMP_1029"/>
    <d v="2023-01-25T00:00:00"/>
    <x v="5"/>
    <n v="1191.92"/>
    <n v="538"/>
    <n v="1134.95"/>
    <n v="-4.7796832002147814E-2"/>
  </r>
  <r>
    <s v="CMP_1036"/>
    <d v="2023-05-06T00:00:00"/>
    <x v="4"/>
    <n v="766.5"/>
    <n v="522"/>
    <n v="14313.26"/>
    <n v="17.673529028049575"/>
  </r>
  <r>
    <s v="CMP_1052"/>
    <d v="2023-10-04T00:00:00"/>
    <x v="4"/>
    <n v="1233.21"/>
    <n v="478"/>
    <n v="17428.38"/>
    <n v="13.132532172136134"/>
  </r>
  <r>
    <s v="CMP_1054"/>
    <d v="2023-06-17T00:00:00"/>
    <x v="2"/>
    <n v="2031.1"/>
    <n v="443"/>
    <n v="7228.6"/>
    <n v="2.5589581999901534"/>
  </r>
  <r>
    <s v="CMP_1016"/>
    <d v="2023-01-13T00:00:00"/>
    <x v="3"/>
    <n v="4184.29"/>
    <n v="433"/>
    <n v="15519.58"/>
    <n v="2.7090115646860045"/>
  </r>
  <r>
    <s v="CMP_1021"/>
    <d v="2023-12-04T00:00:00"/>
    <x v="0"/>
    <n v="621.34"/>
    <n v="410"/>
    <n v="17145.919999999998"/>
    <n v="26.595068722438597"/>
  </r>
  <r>
    <s v="CMP_1039"/>
    <d v="2023-03-20T00:00:00"/>
    <x v="3"/>
    <n v="1353.8"/>
    <n v="407"/>
    <n v="1476.18"/>
    <n v="9.0397399911360699E-2"/>
  </r>
  <r>
    <s v="CMP_1096"/>
    <d v="2023-02-26T00:00:00"/>
    <x v="2"/>
    <n v="3830.39"/>
    <n v="396"/>
    <n v="8298.85"/>
    <n v="1.1665809486762448"/>
  </r>
  <r>
    <s v="CMP_1079"/>
    <d v="2023-06-18T00:00:00"/>
    <x v="3"/>
    <n v="495.59"/>
    <n v="381"/>
    <n v="7308"/>
    <n v="13.746060251417504"/>
  </r>
  <r>
    <s v="CMP_1080"/>
    <d v="2023-12-12T00:00:00"/>
    <x v="5"/>
    <n v="4407.71"/>
    <n v="357"/>
    <n v="15250.11"/>
    <n v="2.4598714525229659"/>
  </r>
  <r>
    <s v="CMP_1044"/>
    <d v="2023-04-05T00:00:00"/>
    <x v="1"/>
    <n v="3174.87"/>
    <n v="341"/>
    <n v="2637.64"/>
    <n v="-0.16921322762821786"/>
  </r>
  <r>
    <s v="CMP_1027"/>
    <d v="2023-03-12T00:00:00"/>
    <x v="0"/>
    <n v="4689.6899999999996"/>
    <n v="319"/>
    <n v="4698.2299999999996"/>
    <n v="1.8210158880437651E-3"/>
  </r>
  <r>
    <s v="CMP_1043"/>
    <d v="2024-01-01T00:00:00"/>
    <x v="1"/>
    <n v="2485.2399999999998"/>
    <n v="302"/>
    <n v="5127.62"/>
    <n v="1.0632293058215707"/>
  </r>
  <r>
    <s v="CMP_1074"/>
    <d v="2023-07-18T00:00:00"/>
    <x v="0"/>
    <n v="2347.94"/>
    <n v="272"/>
    <n v="4978.58"/>
    <n v="1.1204034174638193"/>
  </r>
  <r>
    <s v="CMP_1046"/>
    <d v="2023-09-20T00:00:00"/>
    <x v="1"/>
    <n v="4432.25"/>
    <n v="258"/>
    <n v="742.12"/>
    <n v="-0.83256359636753341"/>
  </r>
  <r>
    <s v="CMP_1007"/>
    <d v="2023-07-27T00:00:00"/>
    <x v="1"/>
    <n v="4961.8900000000003"/>
    <n v="229"/>
    <n v="18325.14"/>
    <n v="2.6931773981285354"/>
  </r>
  <r>
    <s v="CMP_1070"/>
    <d v="2023-08-24T00:00:00"/>
    <x v="2"/>
    <n v="1657.28"/>
    <n v="177"/>
    <n v="13020.97"/>
    <n v="6.8568316759992269"/>
  </r>
  <r>
    <s v="CMP_1051"/>
    <d v="2023-01-26T00:00:00"/>
    <x v="0"/>
    <n v="269.52999999999997"/>
    <n v="173"/>
    <n v="6031.37"/>
    <n v="21.377360590657815"/>
  </r>
  <r>
    <s v="CMP_1094"/>
    <d v="2023-07-16T00:00:00"/>
    <x v="2"/>
    <n v="4007.97"/>
    <n v="159"/>
    <n v="15288.34"/>
    <n v="2.8144846393560834"/>
  </r>
  <r>
    <s v="CMP_1093"/>
    <d v="2023-10-15T00:00:00"/>
    <x v="1"/>
    <n v="1722.14"/>
    <n v="120"/>
    <n v="6429.51"/>
    <n v="2.73344211272022"/>
  </r>
  <r>
    <s v="CMP_1060"/>
    <d v="2023-02-22T00:00:00"/>
    <x v="2"/>
    <n v="1359"/>
    <n v="119"/>
    <n v="4317.76"/>
    <n v="2.1771596762325243"/>
  </r>
  <r>
    <s v="CMP_1073"/>
    <d v="2023-01-28T00:00:00"/>
    <x v="0"/>
    <n v="3093.46"/>
    <n v="92"/>
    <n v="13600.06"/>
    <n v="3.396391096054256"/>
  </r>
  <r>
    <m/>
    <m/>
    <x v="6"/>
    <m/>
    <m/>
    <m/>
    <m/>
  </r>
  <r>
    <m/>
    <m/>
    <x v="6"/>
    <m/>
    <m/>
    <m/>
    <m/>
  </r>
  <r>
    <m/>
    <m/>
    <x v="6"/>
    <m/>
    <m/>
    <m/>
    <m/>
  </r>
  <r>
    <m/>
    <m/>
    <x v="6"/>
    <m/>
    <m/>
    <m/>
    <m/>
  </r>
  <r>
    <m/>
    <m/>
    <x v="6"/>
    <m/>
    <m/>
    <m/>
    <m/>
  </r>
  <r>
    <m/>
    <m/>
    <x v="6"/>
    <m/>
    <m/>
    <m/>
    <m/>
  </r>
  <r>
    <m/>
    <m/>
    <x v="6"/>
    <m/>
    <m/>
    <m/>
    <m/>
  </r>
  <r>
    <m/>
    <m/>
    <x v="6"/>
    <m/>
    <m/>
    <m/>
    <m/>
  </r>
  <r>
    <m/>
    <m/>
    <x v="6"/>
    <m/>
    <m/>
    <m/>
    <m/>
  </r>
  <r>
    <m/>
    <m/>
    <x v="6"/>
    <m/>
    <m/>
    <m/>
    <m/>
  </r>
  <r>
    <m/>
    <m/>
    <x v="6"/>
    <m/>
    <m/>
    <m/>
    <m/>
  </r>
  <r>
    <m/>
    <m/>
    <x v="6"/>
    <m/>
    <m/>
    <m/>
    <m/>
  </r>
  <r>
    <m/>
    <m/>
    <x v="6"/>
    <m/>
    <m/>
    <m/>
    <m/>
  </r>
  <r>
    <m/>
    <m/>
    <x v="6"/>
    <m/>
    <m/>
    <m/>
    <m/>
  </r>
  <r>
    <m/>
    <m/>
    <x v="6"/>
    <m/>
    <m/>
    <m/>
    <m/>
  </r>
  <r>
    <m/>
    <m/>
    <x v="6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B7C5AD-E10C-40FE-8418-76B43D2BC87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7">
    <pivotField showAll="0"/>
    <pivotField showAll="0"/>
    <pivotField axis="axisRow" showAll="0">
      <items count="8">
        <item x="5"/>
        <item x="3"/>
        <item x="2"/>
        <item x="1"/>
        <item x="0"/>
        <item x="4"/>
        <item x="6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ROI %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BBC211-6C38-4075-9979-0FA59F19F76C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9" firstHeaderRow="1" firstDataRow="1" firstDataCol="1"/>
  <pivotFields count="7">
    <pivotField showAll="0"/>
    <pivotField showAll="0"/>
    <pivotField axis="axisRow" showAll="0">
      <items count="8">
        <item x="5"/>
        <item x="3"/>
        <item x="2"/>
        <item x="1"/>
        <item x="0"/>
        <item x="6"/>
        <item x="4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ROI %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77F5B9-BD12-4503-AE13-A516CD421CFC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9" firstHeaderRow="1" firstDataRow="1" firstDataCol="1"/>
  <pivotFields count="7">
    <pivotField showAll="0"/>
    <pivotField showAll="0"/>
    <pivotField axis="axisRow" showAll="0">
      <items count="8">
        <item x="5"/>
        <item x="3"/>
        <item x="2"/>
        <item x="1"/>
        <item x="0"/>
        <item x="4"/>
        <item x="6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ROI %" fld="6" subtotal="average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ED04D-94FD-4796-A848-FB2272B45FF3}">
  <dimension ref="A3:B11"/>
  <sheetViews>
    <sheetView workbookViewId="0">
      <selection activeCell="A3" sqref="A3:C11"/>
    </sheetView>
  </sheetViews>
  <sheetFormatPr defaultRowHeight="14.5" x14ac:dyDescent="0.35"/>
  <cols>
    <col min="1" max="1" width="12.36328125" bestFit="1" customWidth="1"/>
    <col min="2" max="2" width="15.1796875" bestFit="1" customWidth="1"/>
  </cols>
  <sheetData>
    <row r="3" spans="1:2" x14ac:dyDescent="0.35">
      <c r="A3" s="5" t="s">
        <v>101</v>
      </c>
      <c r="B3" t="s">
        <v>104</v>
      </c>
    </row>
    <row r="4" spans="1:2" x14ac:dyDescent="0.35">
      <c r="A4" s="6"/>
      <c r="B4" s="7">
        <v>2.4455646494202328</v>
      </c>
    </row>
    <row r="5" spans="1:2" x14ac:dyDescent="0.35">
      <c r="A5" s="6" t="s">
        <v>8</v>
      </c>
      <c r="B5" s="7">
        <v>7.4033473431722623</v>
      </c>
    </row>
    <row r="6" spans="1:2" x14ac:dyDescent="0.35">
      <c r="A6" s="6" t="s">
        <v>6</v>
      </c>
      <c r="B6" s="7">
        <v>3.3459103429322008</v>
      </c>
    </row>
    <row r="7" spans="1:2" x14ac:dyDescent="0.35">
      <c r="A7" s="6" t="s">
        <v>97</v>
      </c>
      <c r="B7" s="7">
        <v>9.6611751332867009</v>
      </c>
    </row>
    <row r="8" spans="1:2" x14ac:dyDescent="0.35">
      <c r="A8" s="6" t="s">
        <v>14</v>
      </c>
      <c r="B8" s="7">
        <v>7.3745182044204043</v>
      </c>
    </row>
    <row r="9" spans="1:2" x14ac:dyDescent="0.35">
      <c r="A9" s="6" t="s">
        <v>17</v>
      </c>
      <c r="B9" s="7">
        <v>5.9616293723925766</v>
      </c>
    </row>
    <row r="10" spans="1:2" x14ac:dyDescent="0.35">
      <c r="A10" s="6" t="s">
        <v>102</v>
      </c>
      <c r="B10" s="7"/>
    </row>
    <row r="11" spans="1:2" x14ac:dyDescent="0.35">
      <c r="A11" s="6" t="s">
        <v>103</v>
      </c>
      <c r="B11" s="7">
        <v>6.5888095949555749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C6C43-A9B6-420F-83BF-842A80E73F43}">
  <dimension ref="A1:B9"/>
  <sheetViews>
    <sheetView workbookViewId="0">
      <selection activeCell="A8" sqref="A8:B8"/>
      <pivotSelection pane="bottomRight" showHeader="1" extendable="1" axis="axisRow" start="6" max="8" activeRow="7" previousRow="7" click="1" r:id="rId1">
        <pivotArea dataOnly="0" fieldPosition="0">
          <references count="1">
            <reference field="2" count="1">
              <x v="6"/>
            </reference>
          </references>
        </pivotArea>
      </pivotSelection>
    </sheetView>
  </sheetViews>
  <sheetFormatPr defaultRowHeight="14.5" x14ac:dyDescent="0.35"/>
  <cols>
    <col min="1" max="1" width="12.36328125" bestFit="1" customWidth="1"/>
    <col min="2" max="2" width="15.1796875" bestFit="1" customWidth="1"/>
  </cols>
  <sheetData>
    <row r="1" spans="1:2" x14ac:dyDescent="0.35">
      <c r="A1" s="5" t="s">
        <v>101</v>
      </c>
      <c r="B1" t="s">
        <v>104</v>
      </c>
    </row>
    <row r="2" spans="1:2" x14ac:dyDescent="0.35">
      <c r="A2" s="6"/>
      <c r="B2" s="7">
        <v>2.4455646494202328</v>
      </c>
    </row>
    <row r="3" spans="1:2" x14ac:dyDescent="0.35">
      <c r="A3" s="6" t="s">
        <v>8</v>
      </c>
      <c r="B3" s="7">
        <v>7.4033473431722623</v>
      </c>
    </row>
    <row r="4" spans="1:2" x14ac:dyDescent="0.35">
      <c r="A4" s="6" t="s">
        <v>6</v>
      </c>
      <c r="B4" s="7">
        <v>3.3459103429322008</v>
      </c>
    </row>
    <row r="5" spans="1:2" x14ac:dyDescent="0.35">
      <c r="A5" s="6" t="s">
        <v>97</v>
      </c>
      <c r="B5" s="7">
        <v>9.6611751332867009</v>
      </c>
    </row>
    <row r="6" spans="1:2" x14ac:dyDescent="0.35">
      <c r="A6" s="6" t="s">
        <v>14</v>
      </c>
      <c r="B6" s="7">
        <v>7.3745182044204043</v>
      </c>
    </row>
    <row r="7" spans="1:2" x14ac:dyDescent="0.35">
      <c r="A7" s="6" t="s">
        <v>102</v>
      </c>
      <c r="B7" s="7"/>
    </row>
    <row r="8" spans="1:2" x14ac:dyDescent="0.35">
      <c r="A8" s="6" t="s">
        <v>17</v>
      </c>
      <c r="B8" s="7">
        <v>5.9616293723925766</v>
      </c>
    </row>
    <row r="9" spans="1:2" x14ac:dyDescent="0.35">
      <c r="A9" s="6" t="s">
        <v>103</v>
      </c>
      <c r="B9" s="7">
        <v>6.5888095949555749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3AB27-E80E-4BC4-B612-390C4677D6E0}">
  <dimension ref="A1:B9"/>
  <sheetViews>
    <sheetView workbookViewId="0">
      <selection activeCell="D14" sqref="D14"/>
    </sheetView>
  </sheetViews>
  <sheetFormatPr defaultRowHeight="14.5" x14ac:dyDescent="0.35"/>
  <sheetData>
    <row r="1" spans="1:2" x14ac:dyDescent="0.35">
      <c r="A1" s="5" t="s">
        <v>101</v>
      </c>
      <c r="B1" t="s">
        <v>104</v>
      </c>
    </row>
    <row r="2" spans="1:2" x14ac:dyDescent="0.35">
      <c r="A2" s="6"/>
      <c r="B2" s="7">
        <v>2.4455646494202328</v>
      </c>
    </row>
    <row r="3" spans="1:2" x14ac:dyDescent="0.35">
      <c r="A3" s="6" t="s">
        <v>8</v>
      </c>
      <c r="B3" s="7">
        <v>7.4033473431722623</v>
      </c>
    </row>
    <row r="4" spans="1:2" x14ac:dyDescent="0.35">
      <c r="A4" s="6" t="s">
        <v>6</v>
      </c>
      <c r="B4" s="7">
        <v>3.3459103429322008</v>
      </c>
    </row>
    <row r="5" spans="1:2" x14ac:dyDescent="0.35">
      <c r="A5" s="6" t="s">
        <v>97</v>
      </c>
      <c r="B5" s="7">
        <v>9.6611751332867009</v>
      </c>
    </row>
    <row r="6" spans="1:2" x14ac:dyDescent="0.35">
      <c r="A6" s="6" t="s">
        <v>14</v>
      </c>
      <c r="B6" s="7">
        <v>7.3745182044204043</v>
      </c>
    </row>
    <row r="7" spans="1:2" x14ac:dyDescent="0.35">
      <c r="A7" s="6" t="s">
        <v>17</v>
      </c>
      <c r="B7" s="7">
        <v>5.9616293723925766</v>
      </c>
    </row>
    <row r="8" spans="1:2" x14ac:dyDescent="0.35">
      <c r="A8" s="6" t="s">
        <v>102</v>
      </c>
      <c r="B8" s="7"/>
    </row>
    <row r="9" spans="1:2" x14ac:dyDescent="0.35">
      <c r="A9" s="6" t="s">
        <v>103</v>
      </c>
      <c r="B9" s="7">
        <v>6.5888095949555749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D4A4B-B708-4562-A2BD-B92F0D9608B0}">
  <dimension ref="A1:G89"/>
  <sheetViews>
    <sheetView tabSelected="1" workbookViewId="0">
      <selection activeCell="D10" sqref="D10"/>
    </sheetView>
  </sheetViews>
  <sheetFormatPr defaultRowHeight="14.5" x14ac:dyDescent="0.35"/>
  <cols>
    <col min="1" max="1" width="27.81640625" customWidth="1"/>
    <col min="2" max="2" width="23.81640625" customWidth="1"/>
    <col min="3" max="3" width="21.08984375" customWidth="1"/>
    <col min="4" max="4" width="17.453125" style="3" customWidth="1"/>
    <col min="5" max="5" width="17.08984375" style="3" customWidth="1"/>
    <col min="6" max="6" width="13.90625" style="3" customWidth="1"/>
    <col min="7" max="7" width="13.26953125" style="4" customWidth="1"/>
  </cols>
  <sheetData>
    <row r="1" spans="1:7" x14ac:dyDescent="0.35">
      <c r="A1" t="s">
        <v>0</v>
      </c>
      <c r="B1" t="s">
        <v>1</v>
      </c>
      <c r="C1" t="s">
        <v>99</v>
      </c>
      <c r="D1" s="3" t="s">
        <v>2</v>
      </c>
      <c r="E1" s="3" t="s">
        <v>3</v>
      </c>
      <c r="F1" s="3" t="s">
        <v>4</v>
      </c>
      <c r="G1" s="4" t="s">
        <v>100</v>
      </c>
    </row>
    <row r="2" spans="1:7" x14ac:dyDescent="0.35">
      <c r="A2" t="s">
        <v>83</v>
      </c>
      <c r="B2" s="1">
        <v>45191</v>
      </c>
      <c r="C2" t="s">
        <v>14</v>
      </c>
      <c r="D2" s="3">
        <v>3463.91</v>
      </c>
      <c r="E2" s="3">
        <v>1993</v>
      </c>
      <c r="F2" s="3">
        <v>18313.28</v>
      </c>
      <c r="G2" s="4">
        <f>(F2-D2)/D2</f>
        <v>4.2868810101879093</v>
      </c>
    </row>
    <row r="3" spans="1:7" x14ac:dyDescent="0.35">
      <c r="A3" t="s">
        <v>35</v>
      </c>
      <c r="B3" s="1">
        <v>45240</v>
      </c>
      <c r="C3" t="s">
        <v>97</v>
      </c>
      <c r="D3" s="3">
        <v>1272.77</v>
      </c>
      <c r="E3" s="3">
        <v>1940</v>
      </c>
      <c r="F3" s="3">
        <v>5454</v>
      </c>
      <c r="G3" s="4">
        <f t="shared" ref="G3:G66" si="0">(F3-D3)/D3</f>
        <v>3.2851418559519785</v>
      </c>
    </row>
    <row r="4" spans="1:7" x14ac:dyDescent="0.35">
      <c r="A4" t="s">
        <v>79</v>
      </c>
      <c r="B4" s="1">
        <v>45034</v>
      </c>
      <c r="C4" t="s">
        <v>6</v>
      </c>
      <c r="D4" s="3">
        <v>2141.7800000000002</v>
      </c>
      <c r="E4" s="3">
        <v>1938</v>
      </c>
      <c r="F4" s="3">
        <v>3340.12</v>
      </c>
      <c r="G4" s="4">
        <f t="shared" si="0"/>
        <v>0.55950657864019626</v>
      </c>
    </row>
    <row r="5" spans="1:7" x14ac:dyDescent="0.35">
      <c r="A5" t="s">
        <v>84</v>
      </c>
      <c r="B5" s="1">
        <v>45280</v>
      </c>
      <c r="C5" t="s">
        <v>8</v>
      </c>
      <c r="D5" s="3">
        <v>2158.13</v>
      </c>
      <c r="E5" s="3">
        <v>1932</v>
      </c>
      <c r="F5" s="3">
        <v>3612.02</v>
      </c>
      <c r="G5" s="4">
        <f t="shared" si="0"/>
        <v>0.67368045483821637</v>
      </c>
    </row>
    <row r="6" spans="1:7" x14ac:dyDescent="0.35">
      <c r="A6" t="s">
        <v>89</v>
      </c>
      <c r="B6" s="1">
        <v>45041</v>
      </c>
      <c r="C6" t="s">
        <v>6</v>
      </c>
      <c r="D6" s="3">
        <v>3601.25</v>
      </c>
      <c r="E6" s="3">
        <v>1925</v>
      </c>
      <c r="F6" s="3">
        <v>9529.0499999999993</v>
      </c>
      <c r="G6" s="4">
        <f t="shared" si="0"/>
        <v>1.6460395695938908</v>
      </c>
    </row>
    <row r="7" spans="1:7" x14ac:dyDescent="0.35">
      <c r="A7" t="s">
        <v>82</v>
      </c>
      <c r="B7" s="1">
        <v>45076</v>
      </c>
      <c r="C7" t="s">
        <v>97</v>
      </c>
      <c r="D7" s="3">
        <v>267.88</v>
      </c>
      <c r="E7" s="3">
        <v>1905</v>
      </c>
      <c r="F7" s="3">
        <v>12249.92</v>
      </c>
      <c r="G7" s="4">
        <f t="shared" si="0"/>
        <v>44.729132447364499</v>
      </c>
    </row>
    <row r="8" spans="1:7" x14ac:dyDescent="0.35">
      <c r="A8" t="s">
        <v>76</v>
      </c>
      <c r="B8" s="1">
        <v>45188</v>
      </c>
      <c r="C8" t="s">
        <v>17</v>
      </c>
      <c r="D8" s="3">
        <v>2829.61</v>
      </c>
      <c r="E8" s="3">
        <v>1903</v>
      </c>
      <c r="F8" s="3">
        <v>930.76</v>
      </c>
      <c r="G8" s="4">
        <f t="shared" si="0"/>
        <v>-0.67106421026219165</v>
      </c>
    </row>
    <row r="9" spans="1:7" x14ac:dyDescent="0.35">
      <c r="A9" t="s">
        <v>67</v>
      </c>
      <c r="B9" s="1">
        <v>45250</v>
      </c>
      <c r="C9" t="s">
        <v>6</v>
      </c>
      <c r="D9" s="3">
        <v>2698.83</v>
      </c>
      <c r="E9" s="3">
        <v>1866</v>
      </c>
      <c r="F9" s="3">
        <v>12205.95</v>
      </c>
      <c r="G9" s="4">
        <f t="shared" si="0"/>
        <v>3.5226820511110373</v>
      </c>
    </row>
    <row r="10" spans="1:7" x14ac:dyDescent="0.35">
      <c r="A10" t="s">
        <v>61</v>
      </c>
      <c r="B10" s="1">
        <v>45081</v>
      </c>
      <c r="C10" t="s">
        <v>97</v>
      </c>
      <c r="D10" s="3">
        <v>861.58</v>
      </c>
      <c r="E10" s="3">
        <v>1810</v>
      </c>
      <c r="F10" s="3">
        <v>12287.2</v>
      </c>
      <c r="G10" s="4">
        <f t="shared" si="0"/>
        <v>13.26124097588152</v>
      </c>
    </row>
    <row r="11" spans="1:7" x14ac:dyDescent="0.35">
      <c r="A11" t="s">
        <v>9</v>
      </c>
      <c r="B11" s="1">
        <v>45247</v>
      </c>
      <c r="C11" t="s">
        <v>17</v>
      </c>
      <c r="D11" s="3">
        <v>2243.4499999999998</v>
      </c>
      <c r="E11" s="3">
        <v>1789</v>
      </c>
      <c r="F11" s="3">
        <v>9720.9599999999991</v>
      </c>
      <c r="G11" s="4">
        <f t="shared" si="0"/>
        <v>3.3330406293877735</v>
      </c>
    </row>
    <row r="12" spans="1:7" x14ac:dyDescent="0.35">
      <c r="A12" t="s">
        <v>34</v>
      </c>
      <c r="B12" s="1">
        <v>45117</v>
      </c>
      <c r="C12" t="s">
        <v>8</v>
      </c>
      <c r="D12" s="3">
        <v>4097.8599999999997</v>
      </c>
      <c r="E12" s="3">
        <v>1780</v>
      </c>
      <c r="F12" s="3">
        <v>15042.16</v>
      </c>
      <c r="G12" s="4">
        <f t="shared" si="0"/>
        <v>2.6707354570434325</v>
      </c>
    </row>
    <row r="13" spans="1:7" x14ac:dyDescent="0.35">
      <c r="A13" t="s">
        <v>86</v>
      </c>
      <c r="B13" s="1">
        <v>45137</v>
      </c>
      <c r="C13" t="s">
        <v>98</v>
      </c>
      <c r="D13" s="3">
        <v>4238.3999999999996</v>
      </c>
      <c r="E13" s="3">
        <v>1779</v>
      </c>
      <c r="F13" s="3">
        <v>1720.33</v>
      </c>
      <c r="G13" s="4">
        <f t="shared" si="0"/>
        <v>-0.59410862589656477</v>
      </c>
    </row>
    <row r="14" spans="1:7" x14ac:dyDescent="0.35">
      <c r="A14" t="s">
        <v>37</v>
      </c>
      <c r="B14" s="1">
        <v>45158</v>
      </c>
      <c r="C14" t="s">
        <v>97</v>
      </c>
      <c r="D14" s="3">
        <v>1286.56</v>
      </c>
      <c r="E14" s="3">
        <v>1775</v>
      </c>
      <c r="F14" s="3">
        <v>17642.39</v>
      </c>
      <c r="G14" s="4">
        <f t="shared" si="0"/>
        <v>12.712838888197986</v>
      </c>
    </row>
    <row r="15" spans="1:7" x14ac:dyDescent="0.35">
      <c r="A15" t="s">
        <v>19</v>
      </c>
      <c r="B15" s="1">
        <v>44928</v>
      </c>
      <c r="C15" t="s">
        <v>97</v>
      </c>
      <c r="D15" s="3">
        <v>4195.17</v>
      </c>
      <c r="E15" s="3">
        <v>1758</v>
      </c>
      <c r="F15" s="3">
        <v>5750.86</v>
      </c>
      <c r="G15" s="4">
        <f t="shared" si="0"/>
        <v>0.37082883411160922</v>
      </c>
    </row>
    <row r="16" spans="1:7" x14ac:dyDescent="0.35">
      <c r="A16" t="s">
        <v>59</v>
      </c>
      <c r="B16" s="1">
        <v>45178</v>
      </c>
      <c r="C16" t="s">
        <v>14</v>
      </c>
      <c r="D16" s="3">
        <v>2710.44</v>
      </c>
      <c r="E16" s="3">
        <v>1749</v>
      </c>
      <c r="F16" s="3">
        <v>7700.36</v>
      </c>
      <c r="G16" s="4">
        <f t="shared" si="0"/>
        <v>1.8409999852422485</v>
      </c>
    </row>
    <row r="17" spans="1:7" x14ac:dyDescent="0.35">
      <c r="A17" t="s">
        <v>96</v>
      </c>
      <c r="B17" s="1">
        <v>44980</v>
      </c>
      <c r="C17" t="s">
        <v>97</v>
      </c>
      <c r="D17" s="3">
        <v>178.65</v>
      </c>
      <c r="E17" s="3">
        <v>1736</v>
      </c>
      <c r="F17" s="3">
        <v>8183.05</v>
      </c>
      <c r="G17" s="4">
        <f t="shared" si="0"/>
        <v>44.804925832633643</v>
      </c>
    </row>
    <row r="18" spans="1:7" x14ac:dyDescent="0.35">
      <c r="A18" t="s">
        <v>57</v>
      </c>
      <c r="B18" s="1">
        <v>45272</v>
      </c>
      <c r="C18" t="s">
        <v>14</v>
      </c>
      <c r="D18" s="3">
        <v>2993.75</v>
      </c>
      <c r="E18" s="3">
        <v>1686</v>
      </c>
      <c r="F18" s="3">
        <v>12851.88</v>
      </c>
      <c r="G18" s="4">
        <f t="shared" si="0"/>
        <v>3.2929035490605427</v>
      </c>
    </row>
    <row r="19" spans="1:7" x14ac:dyDescent="0.35">
      <c r="A19" t="s">
        <v>10</v>
      </c>
      <c r="B19" s="1">
        <v>44951</v>
      </c>
      <c r="C19" t="s">
        <v>17</v>
      </c>
      <c r="D19" s="3">
        <v>2224.67</v>
      </c>
      <c r="E19" s="3">
        <v>1653</v>
      </c>
      <c r="F19" s="3">
        <v>16115.05</v>
      </c>
      <c r="G19" s="4">
        <f t="shared" si="0"/>
        <v>6.2437934615021549</v>
      </c>
    </row>
    <row r="20" spans="1:7" x14ac:dyDescent="0.35">
      <c r="A20" t="s">
        <v>55</v>
      </c>
      <c r="B20" s="1">
        <v>45190</v>
      </c>
      <c r="C20" t="s">
        <v>14</v>
      </c>
      <c r="D20" s="3">
        <v>2367.83</v>
      </c>
      <c r="E20" s="3">
        <v>1615</v>
      </c>
      <c r="F20" s="3">
        <v>6860.17</v>
      </c>
      <c r="G20" s="4">
        <f t="shared" si="0"/>
        <v>1.8972392443714288</v>
      </c>
    </row>
    <row r="21" spans="1:7" x14ac:dyDescent="0.35">
      <c r="A21" t="s">
        <v>50</v>
      </c>
      <c r="B21" s="1">
        <v>45171</v>
      </c>
      <c r="C21" t="s">
        <v>97</v>
      </c>
      <c r="D21" s="3">
        <v>3667.66</v>
      </c>
      <c r="E21" s="3">
        <v>1601</v>
      </c>
      <c r="F21" s="3">
        <v>6897.64</v>
      </c>
      <c r="G21" s="4">
        <f t="shared" si="0"/>
        <v>0.88066505619386759</v>
      </c>
    </row>
    <row r="22" spans="1:7" x14ac:dyDescent="0.35">
      <c r="A22" t="s">
        <v>40</v>
      </c>
      <c r="B22" s="1">
        <v>45288</v>
      </c>
      <c r="C22" t="s">
        <v>8</v>
      </c>
      <c r="D22" s="3">
        <v>1214.99</v>
      </c>
      <c r="E22" s="3">
        <v>1596</v>
      </c>
      <c r="F22" s="3">
        <v>5319.07</v>
      </c>
      <c r="G22" s="4">
        <f>(F22-D22)/D22</f>
        <v>3.3778714228100641</v>
      </c>
    </row>
    <row r="23" spans="1:7" x14ac:dyDescent="0.35">
      <c r="A23" t="s">
        <v>49</v>
      </c>
      <c r="B23" s="1">
        <v>45102</v>
      </c>
      <c r="C23" t="s">
        <v>98</v>
      </c>
      <c r="D23" s="3">
        <v>492.67</v>
      </c>
      <c r="E23" s="3">
        <v>1584</v>
      </c>
      <c r="F23" s="3">
        <v>4033.59</v>
      </c>
      <c r="G23" s="4">
        <f t="shared" si="0"/>
        <v>7.1872044167495481</v>
      </c>
    </row>
    <row r="24" spans="1:7" x14ac:dyDescent="0.35">
      <c r="A24" t="s">
        <v>63</v>
      </c>
      <c r="B24" s="1">
        <v>45203</v>
      </c>
      <c r="C24" t="s">
        <v>8</v>
      </c>
      <c r="D24" s="3">
        <v>411</v>
      </c>
      <c r="E24" s="3">
        <v>1582</v>
      </c>
      <c r="F24" s="3">
        <v>17415.14</v>
      </c>
      <c r="G24" s="4">
        <f t="shared" si="0"/>
        <v>41.372603406326036</v>
      </c>
    </row>
    <row r="25" spans="1:7" x14ac:dyDescent="0.35">
      <c r="A25" t="s">
        <v>7</v>
      </c>
      <c r="B25" s="2">
        <v>44997</v>
      </c>
      <c r="C25" t="s">
        <v>8</v>
      </c>
      <c r="D25" s="3">
        <v>1076.3599999999999</v>
      </c>
      <c r="E25" s="3">
        <v>1573</v>
      </c>
      <c r="F25" s="3">
        <v>14226.25</v>
      </c>
      <c r="G25" s="4">
        <f t="shared" si="0"/>
        <v>12.216999888513138</v>
      </c>
    </row>
    <row r="26" spans="1:7" x14ac:dyDescent="0.35">
      <c r="A26" t="s">
        <v>60</v>
      </c>
      <c r="B26" s="1">
        <v>45153</v>
      </c>
      <c r="C26" t="s">
        <v>17</v>
      </c>
      <c r="D26" s="3">
        <v>900.35</v>
      </c>
      <c r="E26" s="3">
        <v>1554</v>
      </c>
      <c r="F26" s="3">
        <v>18383.560000000001</v>
      </c>
      <c r="G26" s="4">
        <f t="shared" si="0"/>
        <v>19.418237352140835</v>
      </c>
    </row>
    <row r="27" spans="1:7" x14ac:dyDescent="0.35">
      <c r="A27" t="s">
        <v>95</v>
      </c>
      <c r="B27" s="1">
        <v>45099</v>
      </c>
      <c r="C27" t="s">
        <v>6</v>
      </c>
      <c r="D27" s="3">
        <v>4757.6400000000003</v>
      </c>
      <c r="E27" s="3">
        <v>1535</v>
      </c>
      <c r="F27" s="3">
        <v>19037.43</v>
      </c>
      <c r="G27" s="4">
        <f t="shared" si="0"/>
        <v>3.0014439932403461</v>
      </c>
    </row>
    <row r="28" spans="1:7" x14ac:dyDescent="0.35">
      <c r="A28" t="s">
        <v>94</v>
      </c>
      <c r="B28" s="1">
        <v>45214</v>
      </c>
      <c r="C28" t="s">
        <v>14</v>
      </c>
      <c r="D28" s="3">
        <v>804.53</v>
      </c>
      <c r="E28" s="3">
        <v>1422</v>
      </c>
      <c r="F28" s="3">
        <v>2212.62</v>
      </c>
      <c r="G28" s="4">
        <f t="shared" si="0"/>
        <v>1.7502019812809964</v>
      </c>
    </row>
    <row r="29" spans="1:7" x14ac:dyDescent="0.35">
      <c r="A29" t="s">
        <v>11</v>
      </c>
      <c r="B29" s="1">
        <v>45194</v>
      </c>
      <c r="C29" t="s">
        <v>6</v>
      </c>
      <c r="D29" s="3">
        <v>4093.4</v>
      </c>
      <c r="E29" s="3">
        <v>1405</v>
      </c>
      <c r="F29" s="3">
        <v>6612.62</v>
      </c>
      <c r="G29" s="4">
        <f t="shared" si="0"/>
        <v>0.61543460204231193</v>
      </c>
    </row>
    <row r="30" spans="1:7" x14ac:dyDescent="0.35">
      <c r="A30" t="s">
        <v>69</v>
      </c>
      <c r="B30" s="1">
        <v>45189</v>
      </c>
      <c r="C30" t="s">
        <v>97</v>
      </c>
      <c r="D30" s="3">
        <v>1465.15</v>
      </c>
      <c r="E30" s="3">
        <v>1398</v>
      </c>
      <c r="F30" s="3">
        <v>9936.9699999999993</v>
      </c>
      <c r="G30" s="4">
        <f t="shared" si="0"/>
        <v>5.7822202504862981</v>
      </c>
    </row>
    <row r="31" spans="1:7" x14ac:dyDescent="0.35">
      <c r="A31" t="s">
        <v>28</v>
      </c>
      <c r="B31" s="1">
        <v>45148</v>
      </c>
      <c r="C31" t="s">
        <v>8</v>
      </c>
      <c r="D31" s="3">
        <v>1411.27</v>
      </c>
      <c r="E31" s="3">
        <v>1373</v>
      </c>
      <c r="F31" s="3">
        <v>5914</v>
      </c>
      <c r="G31" s="4">
        <f t="shared" si="0"/>
        <v>3.1905517725169528</v>
      </c>
    </row>
    <row r="32" spans="1:7" x14ac:dyDescent="0.35">
      <c r="A32" t="s">
        <v>70</v>
      </c>
      <c r="B32" s="1">
        <v>45110</v>
      </c>
      <c r="C32" t="s">
        <v>17</v>
      </c>
      <c r="D32" s="3">
        <v>1746.58</v>
      </c>
      <c r="E32" s="3">
        <v>1353</v>
      </c>
      <c r="F32" s="3">
        <v>10197.6</v>
      </c>
      <c r="G32" s="4">
        <f t="shared" si="0"/>
        <v>4.8386103127254412</v>
      </c>
    </row>
    <row r="33" spans="1:7" x14ac:dyDescent="0.35">
      <c r="A33" t="s">
        <v>20</v>
      </c>
      <c r="B33" s="1">
        <v>45243</v>
      </c>
      <c r="C33" t="s">
        <v>6</v>
      </c>
      <c r="D33" s="3">
        <v>4055.26</v>
      </c>
      <c r="E33" s="3">
        <v>1335</v>
      </c>
      <c r="F33" s="3">
        <v>10880.67</v>
      </c>
      <c r="G33" s="4">
        <f t="shared" si="0"/>
        <v>1.6831004670477354</v>
      </c>
    </row>
    <row r="34" spans="1:7" x14ac:dyDescent="0.35">
      <c r="A34" t="s">
        <v>5</v>
      </c>
      <c r="B34" s="1">
        <v>44941</v>
      </c>
      <c r="C34" t="s">
        <v>6</v>
      </c>
      <c r="D34" s="3">
        <v>2013.71</v>
      </c>
      <c r="E34" s="3">
        <v>1238</v>
      </c>
      <c r="F34" s="3">
        <v>10014.18</v>
      </c>
      <c r="G34" s="4">
        <f t="shared" si="0"/>
        <v>3.973000084421292</v>
      </c>
    </row>
    <row r="35" spans="1:7" x14ac:dyDescent="0.35">
      <c r="A35" t="s">
        <v>15</v>
      </c>
      <c r="B35" s="1">
        <v>45210</v>
      </c>
      <c r="C35" t="s">
        <v>97</v>
      </c>
      <c r="D35" s="3">
        <v>903.25</v>
      </c>
      <c r="E35" s="3">
        <v>1214</v>
      </c>
      <c r="F35" s="3">
        <v>4213.6899999999996</v>
      </c>
      <c r="G35" s="4">
        <f t="shared" si="0"/>
        <v>3.6650318295045663</v>
      </c>
    </row>
    <row r="36" spans="1:7" x14ac:dyDescent="0.35">
      <c r="A36" t="s">
        <v>75</v>
      </c>
      <c r="B36" s="1">
        <v>45240</v>
      </c>
      <c r="C36" t="s">
        <v>14</v>
      </c>
      <c r="D36" s="3">
        <v>2590.9699999999998</v>
      </c>
      <c r="E36" s="3">
        <v>1175</v>
      </c>
      <c r="F36" s="3">
        <v>10890.49</v>
      </c>
      <c r="G36" s="4">
        <f t="shared" si="0"/>
        <v>3.20324820434046</v>
      </c>
    </row>
    <row r="37" spans="1:7" x14ac:dyDescent="0.35">
      <c r="A37" t="s">
        <v>13</v>
      </c>
      <c r="B37" s="1">
        <v>45092</v>
      </c>
      <c r="C37" t="s">
        <v>14</v>
      </c>
      <c r="D37" s="3">
        <v>2718.52</v>
      </c>
      <c r="E37" s="3">
        <v>1169</v>
      </c>
      <c r="F37" s="3">
        <v>10538.41</v>
      </c>
      <c r="G37" s="4">
        <f>(F37-D37)/D37</f>
        <v>2.8765247266895222</v>
      </c>
    </row>
    <row r="38" spans="1:7" x14ac:dyDescent="0.35">
      <c r="A38" t="s">
        <v>56</v>
      </c>
      <c r="B38" s="1">
        <v>45123</v>
      </c>
      <c r="C38" t="s">
        <v>8</v>
      </c>
      <c r="D38" s="3">
        <v>3691.72</v>
      </c>
      <c r="E38" s="3">
        <v>1153</v>
      </c>
      <c r="F38" s="3">
        <v>954.13</v>
      </c>
      <c r="G38" s="4">
        <f t="shared" si="0"/>
        <v>-0.74154865482756005</v>
      </c>
    </row>
    <row r="39" spans="1:7" x14ac:dyDescent="0.35">
      <c r="A39" t="s">
        <v>36</v>
      </c>
      <c r="B39" s="1">
        <v>44949</v>
      </c>
      <c r="C39" t="s">
        <v>97</v>
      </c>
      <c r="D39" s="3">
        <v>2595.56</v>
      </c>
      <c r="E39" s="3">
        <v>1131</v>
      </c>
      <c r="F39" s="3">
        <v>5789.22</v>
      </c>
      <c r="G39" s="4">
        <f t="shared" si="0"/>
        <v>1.2304319684384104</v>
      </c>
    </row>
    <row r="40" spans="1:7" x14ac:dyDescent="0.35">
      <c r="A40" t="s">
        <v>32</v>
      </c>
      <c r="B40" s="1">
        <v>45227</v>
      </c>
      <c r="C40" t="s">
        <v>17</v>
      </c>
      <c r="D40" s="3">
        <v>3808.29</v>
      </c>
      <c r="E40" s="3">
        <v>1075</v>
      </c>
      <c r="F40" s="3">
        <v>13579.06</v>
      </c>
      <c r="G40" s="4">
        <f t="shared" si="0"/>
        <v>2.5656580775098536</v>
      </c>
    </row>
    <row r="41" spans="1:7" x14ac:dyDescent="0.35">
      <c r="A41" t="s">
        <v>16</v>
      </c>
      <c r="B41" s="1">
        <v>45067</v>
      </c>
      <c r="C41" t="s">
        <v>17</v>
      </c>
      <c r="D41" s="3">
        <v>3349.81</v>
      </c>
      <c r="E41" s="3">
        <v>1056</v>
      </c>
      <c r="F41" s="3">
        <v>16419.52</v>
      </c>
      <c r="G41" s="4">
        <f t="shared" si="0"/>
        <v>3.9016272564712629</v>
      </c>
    </row>
    <row r="42" spans="1:7" x14ac:dyDescent="0.35">
      <c r="A42" t="s">
        <v>44</v>
      </c>
      <c r="B42" s="1">
        <v>44932</v>
      </c>
      <c r="C42" t="s">
        <v>17</v>
      </c>
      <c r="D42" s="3">
        <v>893.66</v>
      </c>
      <c r="E42" s="3">
        <v>1043</v>
      </c>
      <c r="F42" s="3">
        <v>6569.6</v>
      </c>
      <c r="G42" s="4">
        <f t="shared" si="0"/>
        <v>6.3513416735671289</v>
      </c>
    </row>
    <row r="43" spans="1:7" x14ac:dyDescent="0.35">
      <c r="A43" t="s">
        <v>27</v>
      </c>
      <c r="B43" s="1">
        <v>45251</v>
      </c>
      <c r="C43" t="s">
        <v>17</v>
      </c>
      <c r="D43" s="3">
        <v>3313.21</v>
      </c>
      <c r="E43" s="3">
        <v>1032</v>
      </c>
      <c r="F43" s="3">
        <v>15555.6</v>
      </c>
      <c r="G43" s="4">
        <f t="shared" si="0"/>
        <v>3.6950238590370064</v>
      </c>
    </row>
    <row r="44" spans="1:7" x14ac:dyDescent="0.35">
      <c r="A44" t="s">
        <v>85</v>
      </c>
      <c r="B44" s="1">
        <v>45180</v>
      </c>
      <c r="C44" t="s">
        <v>17</v>
      </c>
      <c r="D44" s="3">
        <v>1500.71</v>
      </c>
      <c r="E44" s="3">
        <v>1028</v>
      </c>
      <c r="F44" s="3">
        <v>2236.9</v>
      </c>
      <c r="G44" s="4">
        <f t="shared" si="0"/>
        <v>0.49056113439638571</v>
      </c>
    </row>
    <row r="45" spans="1:7" x14ac:dyDescent="0.35">
      <c r="A45" t="s">
        <v>23</v>
      </c>
      <c r="B45" s="1">
        <v>45280</v>
      </c>
      <c r="C45" t="s">
        <v>14</v>
      </c>
      <c r="D45" s="3">
        <v>1001.78</v>
      </c>
      <c r="E45" s="3">
        <v>1025</v>
      </c>
      <c r="F45" s="3">
        <v>2131.33</v>
      </c>
      <c r="G45" s="4">
        <f t="shared" si="0"/>
        <v>1.1275429735071572</v>
      </c>
    </row>
    <row r="46" spans="1:7" x14ac:dyDescent="0.35">
      <c r="A46" t="s">
        <v>22</v>
      </c>
      <c r="B46" s="1">
        <v>45155</v>
      </c>
      <c r="C46" t="s">
        <v>97</v>
      </c>
      <c r="D46" s="3">
        <v>4344.75</v>
      </c>
      <c r="E46" s="3">
        <v>1008</v>
      </c>
      <c r="F46" s="3">
        <v>15247.59</v>
      </c>
      <c r="G46" s="4">
        <f t="shared" si="0"/>
        <v>2.5094286207491803</v>
      </c>
    </row>
    <row r="47" spans="1:7" x14ac:dyDescent="0.35">
      <c r="A47" t="s">
        <v>30</v>
      </c>
      <c r="B47" s="1">
        <v>45212</v>
      </c>
      <c r="C47" t="s">
        <v>17</v>
      </c>
      <c r="D47" s="3">
        <v>4759.13</v>
      </c>
      <c r="E47" s="3">
        <v>964</v>
      </c>
      <c r="F47" s="3">
        <v>17011.599999999999</v>
      </c>
      <c r="G47" s="4">
        <f t="shared" si="0"/>
        <v>2.5745188721467995</v>
      </c>
    </row>
    <row r="48" spans="1:7" x14ac:dyDescent="0.35">
      <c r="A48" t="s">
        <v>25</v>
      </c>
      <c r="B48" s="1">
        <v>45269</v>
      </c>
      <c r="C48" t="s">
        <v>6</v>
      </c>
      <c r="D48" s="3">
        <v>4677.0600000000004</v>
      </c>
      <c r="E48" s="3">
        <v>961</v>
      </c>
      <c r="F48" s="3">
        <v>8068.68</v>
      </c>
      <c r="G48" s="4">
        <f t="shared" si="0"/>
        <v>0.72516067786173355</v>
      </c>
    </row>
    <row r="49" spans="1:7" x14ac:dyDescent="0.35">
      <c r="A49" t="s">
        <v>47</v>
      </c>
      <c r="B49" s="1">
        <v>45019</v>
      </c>
      <c r="C49" t="s">
        <v>17</v>
      </c>
      <c r="D49" s="3">
        <v>4656.24</v>
      </c>
      <c r="E49" s="3">
        <v>890</v>
      </c>
      <c r="F49" s="3">
        <v>2838.65</v>
      </c>
      <c r="G49" s="4">
        <f t="shared" si="0"/>
        <v>-0.39035573767675202</v>
      </c>
    </row>
    <row r="50" spans="1:7" x14ac:dyDescent="0.35">
      <c r="A50" t="s">
        <v>24</v>
      </c>
      <c r="B50" s="1">
        <v>45183</v>
      </c>
      <c r="C50" t="s">
        <v>6</v>
      </c>
      <c r="D50" s="3">
        <v>980.06</v>
      </c>
      <c r="E50" s="3">
        <v>851</v>
      </c>
      <c r="F50" s="3">
        <v>7213.37</v>
      </c>
      <c r="G50" s="4">
        <f t="shared" si="0"/>
        <v>6.3601310123869963</v>
      </c>
    </row>
    <row r="51" spans="1:7" x14ac:dyDescent="0.35">
      <c r="A51" t="s">
        <v>53</v>
      </c>
      <c r="B51" s="1">
        <v>45069</v>
      </c>
      <c r="C51" t="s">
        <v>14</v>
      </c>
      <c r="D51" s="3">
        <v>4897.59</v>
      </c>
      <c r="E51" s="3">
        <v>851</v>
      </c>
      <c r="F51" s="3">
        <v>6840.17</v>
      </c>
      <c r="G51" s="4">
        <f t="shared" si="0"/>
        <v>0.39663998007183121</v>
      </c>
    </row>
    <row r="52" spans="1:7" x14ac:dyDescent="0.35">
      <c r="A52" t="s">
        <v>41</v>
      </c>
      <c r="B52" s="1">
        <v>45237</v>
      </c>
      <c r="C52" t="s">
        <v>14</v>
      </c>
      <c r="D52" s="3">
        <v>2823.78</v>
      </c>
      <c r="E52" s="3">
        <v>829</v>
      </c>
      <c r="F52" s="3">
        <v>12417.92</v>
      </c>
      <c r="G52" s="4">
        <f t="shared" si="0"/>
        <v>3.3976230442881521</v>
      </c>
    </row>
    <row r="53" spans="1:7" x14ac:dyDescent="0.35">
      <c r="A53" t="s">
        <v>74</v>
      </c>
      <c r="B53" s="1">
        <v>45240</v>
      </c>
      <c r="C53" t="s">
        <v>6</v>
      </c>
      <c r="D53" s="3">
        <v>2481.48</v>
      </c>
      <c r="E53" s="3">
        <v>811</v>
      </c>
      <c r="F53" s="3">
        <v>18406.810000000001</v>
      </c>
      <c r="G53" s="4">
        <f t="shared" si="0"/>
        <v>6.4176741299547055</v>
      </c>
    </row>
    <row r="54" spans="1:7" x14ac:dyDescent="0.35">
      <c r="A54" t="s">
        <v>38</v>
      </c>
      <c r="B54" s="1">
        <v>44939</v>
      </c>
      <c r="C54" t="s">
        <v>6</v>
      </c>
      <c r="D54" s="3">
        <v>3584.4</v>
      </c>
      <c r="E54" s="3">
        <v>788</v>
      </c>
      <c r="F54" s="3">
        <v>4862.9399999999996</v>
      </c>
      <c r="G54" s="4">
        <f t="shared" si="0"/>
        <v>0.35669568128557066</v>
      </c>
    </row>
    <row r="55" spans="1:7" x14ac:dyDescent="0.35">
      <c r="A55" t="s">
        <v>81</v>
      </c>
      <c r="B55" s="1">
        <v>45217</v>
      </c>
      <c r="C55" t="s">
        <v>8</v>
      </c>
      <c r="D55" s="3">
        <v>3700.43</v>
      </c>
      <c r="E55" s="3">
        <v>783</v>
      </c>
      <c r="F55" s="3">
        <v>11584.04</v>
      </c>
      <c r="G55" s="4">
        <f>(F55-D55)/D55</f>
        <v>2.1304578116597264</v>
      </c>
    </row>
    <row r="56" spans="1:7" x14ac:dyDescent="0.35">
      <c r="A56" t="s">
        <v>43</v>
      </c>
      <c r="B56" s="1">
        <v>45280</v>
      </c>
      <c r="C56" t="s">
        <v>97</v>
      </c>
      <c r="D56" s="3">
        <v>564.61</v>
      </c>
      <c r="E56" s="3">
        <v>781</v>
      </c>
      <c r="F56" s="3">
        <v>16280.49</v>
      </c>
      <c r="G56" s="4">
        <f t="shared" si="0"/>
        <v>27.834930305874849</v>
      </c>
    </row>
    <row r="57" spans="1:7" x14ac:dyDescent="0.35">
      <c r="A57" t="s">
        <v>18</v>
      </c>
      <c r="B57" s="1">
        <v>45013</v>
      </c>
      <c r="C57" t="s">
        <v>97</v>
      </c>
      <c r="D57" s="3">
        <v>1996.89</v>
      </c>
      <c r="E57" s="3">
        <v>741</v>
      </c>
      <c r="F57" s="3">
        <v>16841.47</v>
      </c>
      <c r="G57" s="4">
        <f t="shared" si="0"/>
        <v>7.4338496361842674</v>
      </c>
    </row>
    <row r="58" spans="1:7" x14ac:dyDescent="0.35">
      <c r="A58" t="s">
        <v>92</v>
      </c>
      <c r="B58" s="1">
        <v>45160</v>
      </c>
      <c r="C58" t="s">
        <v>97</v>
      </c>
      <c r="D58" s="3">
        <v>4601.71</v>
      </c>
      <c r="E58" s="3">
        <v>735</v>
      </c>
      <c r="F58" s="3">
        <v>10190.049999999999</v>
      </c>
      <c r="G58" s="4">
        <f t="shared" si="0"/>
        <v>1.2144050798507509</v>
      </c>
    </row>
    <row r="59" spans="1:7" x14ac:dyDescent="0.35">
      <c r="A59" t="s">
        <v>88</v>
      </c>
      <c r="B59" s="1">
        <v>45042</v>
      </c>
      <c r="C59" t="s">
        <v>17</v>
      </c>
      <c r="D59" s="3">
        <v>1546.75</v>
      </c>
      <c r="E59" s="3">
        <v>730</v>
      </c>
      <c r="F59" s="3">
        <v>18673.61</v>
      </c>
      <c r="G59" s="4">
        <f t="shared" si="0"/>
        <v>11.072804267011476</v>
      </c>
    </row>
    <row r="60" spans="1:7" x14ac:dyDescent="0.35">
      <c r="A60" t="s">
        <v>73</v>
      </c>
      <c r="B60" s="1">
        <v>45247</v>
      </c>
      <c r="C60" t="s">
        <v>97</v>
      </c>
      <c r="D60" s="3">
        <v>4381.75</v>
      </c>
      <c r="E60" s="3">
        <v>704</v>
      </c>
      <c r="F60" s="3">
        <v>18962.98</v>
      </c>
      <c r="G60" s="4">
        <f t="shared" si="0"/>
        <v>3.3277183773606436</v>
      </c>
    </row>
    <row r="61" spans="1:7" x14ac:dyDescent="0.35">
      <c r="A61" t="s">
        <v>66</v>
      </c>
      <c r="B61" s="1">
        <v>44994</v>
      </c>
      <c r="C61" t="s">
        <v>17</v>
      </c>
      <c r="D61" s="3">
        <v>3273.12</v>
      </c>
      <c r="E61" s="3">
        <v>696</v>
      </c>
      <c r="F61" s="3">
        <v>7057.54</v>
      </c>
      <c r="G61" s="4">
        <f t="shared" si="0"/>
        <v>1.156211810138339</v>
      </c>
    </row>
    <row r="62" spans="1:7" x14ac:dyDescent="0.35">
      <c r="A62" t="s">
        <v>64</v>
      </c>
      <c r="B62" s="1">
        <v>45170</v>
      </c>
      <c r="C62" t="s">
        <v>98</v>
      </c>
      <c r="D62" s="3">
        <v>3031.85</v>
      </c>
      <c r="E62" s="3">
        <v>638</v>
      </c>
      <c r="F62" s="3">
        <v>12802.45</v>
      </c>
      <c r="G62" s="4">
        <f t="shared" si="0"/>
        <v>3.2226528357273616</v>
      </c>
    </row>
    <row r="63" spans="1:7" x14ac:dyDescent="0.35">
      <c r="A63" t="s">
        <v>80</v>
      </c>
      <c r="B63" s="1">
        <v>45279</v>
      </c>
      <c r="C63" t="s">
        <v>6</v>
      </c>
      <c r="D63" s="3">
        <v>377.88</v>
      </c>
      <c r="E63" s="3">
        <v>598</v>
      </c>
      <c r="F63" s="3">
        <v>6231.88</v>
      </c>
      <c r="G63" s="4">
        <f t="shared" si="0"/>
        <v>15.491690483751455</v>
      </c>
    </row>
    <row r="64" spans="1:7" x14ac:dyDescent="0.35">
      <c r="A64" t="s">
        <v>62</v>
      </c>
      <c r="B64" s="1">
        <v>45024</v>
      </c>
      <c r="C64" t="s">
        <v>97</v>
      </c>
      <c r="D64" s="3">
        <v>700.26</v>
      </c>
      <c r="E64" s="3">
        <v>572</v>
      </c>
      <c r="F64" s="3">
        <v>19299.419999999998</v>
      </c>
      <c r="G64" s="4">
        <f t="shared" si="0"/>
        <v>26.560363293633792</v>
      </c>
    </row>
    <row r="65" spans="1:7" x14ac:dyDescent="0.35">
      <c r="A65" t="s">
        <v>29</v>
      </c>
      <c r="B65" s="1">
        <v>45191</v>
      </c>
      <c r="C65" t="s">
        <v>6</v>
      </c>
      <c r="D65" s="3">
        <v>3000.55</v>
      </c>
      <c r="E65" s="3">
        <v>565</v>
      </c>
      <c r="F65" s="3">
        <v>3900.15</v>
      </c>
      <c r="G65" s="4">
        <f t="shared" si="0"/>
        <v>0.29981170118811545</v>
      </c>
    </row>
    <row r="66" spans="1:7" x14ac:dyDescent="0.35">
      <c r="A66" t="s">
        <v>65</v>
      </c>
      <c r="B66" s="1">
        <v>45117</v>
      </c>
      <c r="C66" t="s">
        <v>97</v>
      </c>
      <c r="D66" s="3">
        <v>2078.36</v>
      </c>
      <c r="E66" s="3">
        <v>546</v>
      </c>
      <c r="F66" s="3">
        <v>17571.759999999998</v>
      </c>
      <c r="G66" s="4">
        <f t="shared" si="0"/>
        <v>7.4546276872149182</v>
      </c>
    </row>
    <row r="67" spans="1:7" x14ac:dyDescent="0.35">
      <c r="A67" t="s">
        <v>87</v>
      </c>
      <c r="B67" s="1">
        <v>45277</v>
      </c>
      <c r="C67" t="s">
        <v>14</v>
      </c>
      <c r="D67" s="3">
        <v>269.26</v>
      </c>
      <c r="E67" s="3">
        <v>539</v>
      </c>
      <c r="F67" s="3">
        <v>11425.09</v>
      </c>
      <c r="G67" s="4">
        <f t="shared" ref="G67:G72" si="1">(F67-D67)/D67</f>
        <v>41.431441729183689</v>
      </c>
    </row>
    <row r="68" spans="1:7" x14ac:dyDescent="0.35">
      <c r="A68" t="s">
        <v>33</v>
      </c>
      <c r="B68" s="1">
        <v>44951</v>
      </c>
      <c r="C68" t="s">
        <v>98</v>
      </c>
      <c r="D68" s="3">
        <v>1191.92</v>
      </c>
      <c r="E68" s="3">
        <v>538</v>
      </c>
      <c r="F68" s="3">
        <v>1134.95</v>
      </c>
      <c r="G68" s="4">
        <f t="shared" si="1"/>
        <v>-4.7796832002147814E-2</v>
      </c>
    </row>
    <row r="69" spans="1:7" x14ac:dyDescent="0.35">
      <c r="A69" t="s">
        <v>39</v>
      </c>
      <c r="B69" s="1">
        <v>45052</v>
      </c>
      <c r="C69" t="s">
        <v>17</v>
      </c>
      <c r="D69" s="3">
        <v>766.5</v>
      </c>
      <c r="E69" s="3">
        <v>522</v>
      </c>
      <c r="F69" s="3">
        <v>14313.26</v>
      </c>
      <c r="G69" s="4">
        <f t="shared" si="1"/>
        <v>17.673529028049575</v>
      </c>
    </row>
    <row r="70" spans="1:7" x14ac:dyDescent="0.35">
      <c r="A70" t="s">
        <v>52</v>
      </c>
      <c r="B70" s="1">
        <v>45203</v>
      </c>
      <c r="C70" t="s">
        <v>17</v>
      </c>
      <c r="D70" s="3">
        <v>1233.21</v>
      </c>
      <c r="E70" s="3">
        <v>478</v>
      </c>
      <c r="F70" s="3">
        <v>17428.38</v>
      </c>
      <c r="G70" s="4">
        <f t="shared" si="1"/>
        <v>13.132532172136134</v>
      </c>
    </row>
    <row r="71" spans="1:7" x14ac:dyDescent="0.35">
      <c r="A71" t="s">
        <v>54</v>
      </c>
      <c r="B71" s="1">
        <v>45094</v>
      </c>
      <c r="C71" t="s">
        <v>6</v>
      </c>
      <c r="D71" s="3">
        <v>2031.1</v>
      </c>
      <c r="E71" s="3">
        <v>443</v>
      </c>
      <c r="F71" s="3">
        <v>7228.6</v>
      </c>
      <c r="G71" s="4">
        <f t="shared" si="1"/>
        <v>2.5589581999901534</v>
      </c>
    </row>
    <row r="72" spans="1:7" x14ac:dyDescent="0.35">
      <c r="A72" t="s">
        <v>21</v>
      </c>
      <c r="B72" s="1">
        <v>44939</v>
      </c>
      <c r="C72" t="s">
        <v>8</v>
      </c>
      <c r="D72" s="3">
        <v>4184.29</v>
      </c>
      <c r="E72" s="3">
        <v>433</v>
      </c>
      <c r="F72" s="3">
        <v>15519.58</v>
      </c>
      <c r="G72" s="4">
        <f t="shared" si="1"/>
        <v>2.7090115646860045</v>
      </c>
    </row>
    <row r="73" spans="1:7" x14ac:dyDescent="0.35">
      <c r="A73" t="s">
        <v>26</v>
      </c>
      <c r="B73" s="1">
        <v>45264</v>
      </c>
      <c r="C73" t="s">
        <v>14</v>
      </c>
      <c r="D73" s="3">
        <v>621.34</v>
      </c>
      <c r="E73" s="3">
        <v>410</v>
      </c>
      <c r="F73" s="3">
        <v>17145.919999999998</v>
      </c>
      <c r="G73" s="4">
        <f>(F73-D73)/D73</f>
        <v>26.595068722438597</v>
      </c>
    </row>
    <row r="74" spans="1:7" x14ac:dyDescent="0.35">
      <c r="A74" t="s">
        <v>42</v>
      </c>
      <c r="B74" s="1">
        <v>45005</v>
      </c>
      <c r="C74" t="s">
        <v>8</v>
      </c>
      <c r="D74" s="3">
        <v>1353.8</v>
      </c>
      <c r="E74" s="3">
        <v>407</v>
      </c>
      <c r="F74" s="3">
        <v>1476.18</v>
      </c>
      <c r="G74" s="4">
        <f t="shared" ref="G74:G89" si="2">(F74-D74)/D74</f>
        <v>9.0397399911360699E-2</v>
      </c>
    </row>
    <row r="75" spans="1:7" x14ac:dyDescent="0.35">
      <c r="A75" t="s">
        <v>93</v>
      </c>
      <c r="B75" s="1">
        <v>44983</v>
      </c>
      <c r="C75" t="s">
        <v>6</v>
      </c>
      <c r="D75" s="3">
        <v>3830.39</v>
      </c>
      <c r="E75" s="3">
        <v>396</v>
      </c>
      <c r="F75" s="3">
        <v>8298.85</v>
      </c>
      <c r="G75" s="4">
        <f t="shared" si="2"/>
        <v>1.1665809486762448</v>
      </c>
    </row>
    <row r="76" spans="1:7" x14ac:dyDescent="0.35">
      <c r="A76" t="s">
        <v>77</v>
      </c>
      <c r="B76" s="1">
        <v>45095</v>
      </c>
      <c r="C76" t="s">
        <v>8</v>
      </c>
      <c r="D76" s="3">
        <v>495.59</v>
      </c>
      <c r="E76" s="3">
        <v>381</v>
      </c>
      <c r="F76" s="3">
        <v>7308</v>
      </c>
      <c r="G76" s="4">
        <f t="shared" si="2"/>
        <v>13.746060251417504</v>
      </c>
    </row>
    <row r="77" spans="1:7" x14ac:dyDescent="0.35">
      <c r="A77" t="s">
        <v>78</v>
      </c>
      <c r="B77" s="1">
        <v>45272</v>
      </c>
      <c r="C77" t="s">
        <v>98</v>
      </c>
      <c r="D77" s="3">
        <v>4407.71</v>
      </c>
      <c r="E77" s="3">
        <v>357</v>
      </c>
      <c r="F77" s="3">
        <v>15250.11</v>
      </c>
      <c r="G77" s="4">
        <f t="shared" si="2"/>
        <v>2.4598714525229659</v>
      </c>
    </row>
    <row r="78" spans="1:7" x14ac:dyDescent="0.35">
      <c r="A78" t="s">
        <v>46</v>
      </c>
      <c r="B78" s="1">
        <v>45021</v>
      </c>
      <c r="C78" t="s">
        <v>97</v>
      </c>
      <c r="D78" s="3">
        <v>3174.87</v>
      </c>
      <c r="E78" s="3">
        <v>341</v>
      </c>
      <c r="F78" s="3">
        <v>2637.64</v>
      </c>
      <c r="G78" s="4">
        <f t="shared" si="2"/>
        <v>-0.16921322762821786</v>
      </c>
    </row>
    <row r="79" spans="1:7" x14ac:dyDescent="0.35">
      <c r="A79" t="s">
        <v>31</v>
      </c>
      <c r="B79" s="1">
        <v>44997</v>
      </c>
      <c r="C79" t="s">
        <v>14</v>
      </c>
      <c r="D79" s="3">
        <v>4689.6899999999996</v>
      </c>
      <c r="E79" s="3">
        <v>319</v>
      </c>
      <c r="F79" s="3">
        <v>4698.2299999999996</v>
      </c>
      <c r="G79" s="4">
        <f t="shared" si="2"/>
        <v>1.8210158880437651E-3</v>
      </c>
    </row>
    <row r="80" spans="1:7" x14ac:dyDescent="0.35">
      <c r="A80" t="s">
        <v>45</v>
      </c>
      <c r="B80" s="1">
        <v>45292</v>
      </c>
      <c r="C80" t="s">
        <v>97</v>
      </c>
      <c r="D80" s="3">
        <v>2485.2399999999998</v>
      </c>
      <c r="E80" s="3">
        <v>302</v>
      </c>
      <c r="F80" s="3">
        <v>5127.62</v>
      </c>
      <c r="G80" s="4">
        <f t="shared" si="2"/>
        <v>1.0632293058215707</v>
      </c>
    </row>
    <row r="81" spans="1:7" x14ac:dyDescent="0.35">
      <c r="A81" t="s">
        <v>72</v>
      </c>
      <c r="B81" s="1">
        <v>45125</v>
      </c>
      <c r="C81" t="s">
        <v>14</v>
      </c>
      <c r="D81" s="3">
        <v>2347.94</v>
      </c>
      <c r="E81" s="3">
        <v>272</v>
      </c>
      <c r="F81" s="3">
        <v>4978.58</v>
      </c>
      <c r="G81" s="4">
        <f t="shared" si="2"/>
        <v>1.1204034174638193</v>
      </c>
    </row>
    <row r="82" spans="1:7" x14ac:dyDescent="0.35">
      <c r="A82" t="s">
        <v>48</v>
      </c>
      <c r="B82" s="1">
        <v>45189</v>
      </c>
      <c r="C82" t="s">
        <v>97</v>
      </c>
      <c r="D82" s="3">
        <v>4432.25</v>
      </c>
      <c r="E82" s="3">
        <v>258</v>
      </c>
      <c r="F82" s="3">
        <v>742.12</v>
      </c>
      <c r="G82" s="4">
        <f t="shared" si="2"/>
        <v>-0.83256359636753341</v>
      </c>
    </row>
    <row r="83" spans="1:7" x14ac:dyDescent="0.35">
      <c r="A83" t="s">
        <v>12</v>
      </c>
      <c r="B83" s="1">
        <v>45134</v>
      </c>
      <c r="C83" t="s">
        <v>97</v>
      </c>
      <c r="D83" s="3">
        <v>4961.8900000000003</v>
      </c>
      <c r="E83" s="3">
        <v>229</v>
      </c>
      <c r="F83" s="3">
        <v>18325.14</v>
      </c>
      <c r="G83" s="4">
        <f t="shared" si="2"/>
        <v>2.6931773981285354</v>
      </c>
    </row>
    <row r="84" spans="1:7" x14ac:dyDescent="0.35">
      <c r="A84" t="s">
        <v>68</v>
      </c>
      <c r="B84" s="1">
        <v>45162</v>
      </c>
      <c r="C84" t="s">
        <v>6</v>
      </c>
      <c r="D84" s="3">
        <v>1657.28</v>
      </c>
      <c r="E84" s="3">
        <v>177</v>
      </c>
      <c r="F84" s="3">
        <v>13020.97</v>
      </c>
      <c r="G84" s="4">
        <f t="shared" si="2"/>
        <v>6.8568316759992269</v>
      </c>
    </row>
    <row r="85" spans="1:7" x14ac:dyDescent="0.35">
      <c r="A85" t="s">
        <v>51</v>
      </c>
      <c r="B85" s="1">
        <v>44952</v>
      </c>
      <c r="C85" t="s">
        <v>14</v>
      </c>
      <c r="D85" s="3">
        <v>269.52999999999997</v>
      </c>
      <c r="E85" s="3">
        <v>173</v>
      </c>
      <c r="F85" s="3">
        <v>6031.37</v>
      </c>
      <c r="G85" s="4">
        <f t="shared" si="2"/>
        <v>21.377360590657815</v>
      </c>
    </row>
    <row r="86" spans="1:7" x14ac:dyDescent="0.35">
      <c r="A86" t="s">
        <v>91</v>
      </c>
      <c r="B86" s="1">
        <v>45123</v>
      </c>
      <c r="C86" t="s">
        <v>6</v>
      </c>
      <c r="D86" s="3">
        <v>4007.97</v>
      </c>
      <c r="E86" s="3">
        <v>159</v>
      </c>
      <c r="F86" s="3">
        <v>15288.34</v>
      </c>
      <c r="G86" s="4">
        <f t="shared" si="2"/>
        <v>2.8144846393560834</v>
      </c>
    </row>
    <row r="87" spans="1:7" x14ac:dyDescent="0.35">
      <c r="A87" t="s">
        <v>90</v>
      </c>
      <c r="B87" s="1">
        <v>45214</v>
      </c>
      <c r="C87" t="s">
        <v>97</v>
      </c>
      <c r="D87" s="3">
        <v>1722.14</v>
      </c>
      <c r="E87" s="3">
        <v>120</v>
      </c>
      <c r="F87" s="3">
        <v>6429.51</v>
      </c>
      <c r="G87" s="4">
        <f t="shared" si="2"/>
        <v>2.73344211272022</v>
      </c>
    </row>
    <row r="88" spans="1:7" x14ac:dyDescent="0.35">
      <c r="A88" t="s">
        <v>58</v>
      </c>
      <c r="B88" s="1">
        <v>44979</v>
      </c>
      <c r="C88" t="s">
        <v>6</v>
      </c>
      <c r="D88" s="3">
        <v>1359</v>
      </c>
      <c r="E88" s="3">
        <v>119</v>
      </c>
      <c r="F88" s="3">
        <v>4317.76</v>
      </c>
      <c r="G88" s="4">
        <f t="shared" si="2"/>
        <v>2.1771596762325243</v>
      </c>
    </row>
    <row r="89" spans="1:7" x14ac:dyDescent="0.35">
      <c r="A89" t="s">
        <v>71</v>
      </c>
      <c r="B89" s="1">
        <v>44954</v>
      </c>
      <c r="C89" t="s">
        <v>14</v>
      </c>
      <c r="D89" s="3">
        <v>3093.46</v>
      </c>
      <c r="E89" s="3">
        <v>92</v>
      </c>
      <c r="F89" s="3">
        <v>13600.06</v>
      </c>
      <c r="G89" s="4">
        <f t="shared" si="2"/>
        <v>3.396391096054256</v>
      </c>
    </row>
  </sheetData>
  <sortState xmlns:xlrd2="http://schemas.microsoft.com/office/spreadsheetml/2017/richdata2" ref="A2:F92">
    <sortCondition descending="1" ref="E1:E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Marketing Campaign Performance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Abbas</dc:creator>
  <cp:lastModifiedBy>Noor UL AIN</cp:lastModifiedBy>
  <dcterms:created xsi:type="dcterms:W3CDTF">2026-02-13T18:56:45Z</dcterms:created>
  <dcterms:modified xsi:type="dcterms:W3CDTF">2026-02-13T18:56:45Z</dcterms:modified>
</cp:coreProperties>
</file>